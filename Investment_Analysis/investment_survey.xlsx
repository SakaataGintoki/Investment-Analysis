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D:\Practicals\excel\archive (34)\"/>
    </mc:Choice>
  </mc:AlternateContent>
  <xr:revisionPtr revIDLastSave="0" documentId="13_ncr:1_{D216C493-6B93-4D08-9300-7BBA1A5212D6}" xr6:coauthVersionLast="47" xr6:coauthVersionMax="47" xr10:uidLastSave="{00000000-0000-0000-0000-000000000000}"/>
  <bookViews>
    <workbookView xWindow="-98" yWindow="-98" windowWidth="19396" windowHeight="10276" activeTab="3" xr2:uid="{B3DCD3D0-7E3F-4DD0-9FCF-0290A5DABAE3}"/>
  </bookViews>
  <sheets>
    <sheet name="Pivot_Data" sheetId="3" r:id="rId1"/>
    <sheet name="User-Age_Metrics" sheetId="4" r:id="rId2"/>
    <sheet name="Investment_Type" sheetId="5" r:id="rId3"/>
    <sheet name="Reason_Goal_Investment" sheetId="7" r:id="rId4"/>
    <sheet name="investment_survey" sheetId="1" r:id="rId5"/>
    <sheet name="Sheet1" sheetId="2" r:id="rId6"/>
  </sheets>
  <definedNames>
    <definedName name="_xlnm._FilterDatabase" localSheetId="4" hidden="1">investment_survey!$A$1:$L$1</definedName>
    <definedName name="Slicer_Gender">#N/A</definedName>
    <definedName name="Slicer_Working_professional">#N/A</definedName>
  </definedNames>
  <calcPr calcId="191029"/>
  <pivotCaches>
    <pivotCache cacheId="51"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J19" i="3" l="1"/>
  <c r="N20" i="3"/>
  <c r="N23" i="3"/>
  <c r="I19" i="3"/>
  <c r="N24" i="3"/>
  <c r="H19" i="3"/>
  <c r="N25" i="3"/>
  <c r="J16" i="3"/>
  <c r="N26" i="3"/>
  <c r="N22" i="3"/>
  <c r="J17" i="3"/>
  <c r="J15" i="3"/>
  <c r="I16" i="3"/>
  <c r="I18" i="3"/>
  <c r="M26" i="3"/>
  <c r="M21" i="3"/>
  <c r="H16" i="3"/>
  <c r="H17" i="3"/>
  <c r="H15" i="3"/>
  <c r="M25" i="3"/>
  <c r="B8" i="3"/>
  <c r="R14" i="3"/>
  <c r="N21" i="3"/>
  <c r="M18" i="3"/>
  <c r="J18" i="3"/>
  <c r="N18" i="3"/>
  <c r="M20" i="3"/>
  <c r="M24" i="3"/>
  <c r="I15" i="3"/>
  <c r="M22" i="3"/>
  <c r="M23" i="3"/>
  <c r="N15" i="3"/>
  <c r="M19" i="3"/>
  <c r="N19" i="3"/>
  <c r="F74" i="3"/>
  <c r="F75" i="3"/>
  <c r="F76" i="3"/>
  <c r="F77" i="3"/>
  <c r="F78" i="3"/>
  <c r="F73" i="3"/>
  <c r="P66" i="3"/>
  <c r="P67" i="3"/>
  <c r="P68" i="3"/>
  <c r="P72" i="3"/>
  <c r="P69" i="3"/>
  <c r="P71" i="3"/>
  <c r="P73" i="3"/>
  <c r="P70" i="3"/>
  <c r="P65" i="3"/>
  <c r="M48" i="3"/>
  <c r="M55" i="3"/>
  <c r="M49" i="3"/>
  <c r="M54" i="3"/>
  <c r="M50" i="3"/>
  <c r="M51" i="3"/>
  <c r="M52" i="3"/>
  <c r="M53" i="3"/>
  <c r="M47" i="3"/>
  <c r="AA28" i="3"/>
  <c r="AA27" i="3"/>
  <c r="AA26" i="3"/>
  <c r="S28" i="3"/>
  <c r="U28" i="3"/>
  <c r="V28" i="3"/>
  <c r="W28" i="3"/>
  <c r="X28" i="3"/>
  <c r="Y28" i="3"/>
  <c r="Z28" i="3"/>
  <c r="T28" i="3"/>
  <c r="R28" i="3"/>
  <c r="S27" i="3"/>
  <c r="U27" i="3"/>
  <c r="V27" i="3"/>
  <c r="W27" i="3"/>
  <c r="X27" i="3"/>
  <c r="Z27" i="3"/>
  <c r="T27" i="3"/>
  <c r="Y27" i="3"/>
  <c r="R27" i="3"/>
  <c r="T26" i="3"/>
  <c r="U26" i="3"/>
  <c r="Y26" i="3"/>
  <c r="V26" i="3"/>
  <c r="W26" i="3"/>
  <c r="X26" i="3"/>
  <c r="Z26" i="3"/>
  <c r="S26" i="3"/>
  <c r="R26" i="3"/>
</calcChain>
</file>

<file path=xl/sharedStrings.xml><?xml version="1.0" encoding="utf-8"?>
<sst xmlns="http://schemas.openxmlformats.org/spreadsheetml/2006/main" count="982" uniqueCount="82">
  <si>
    <t>Gender</t>
  </si>
  <si>
    <t>Age</t>
  </si>
  <si>
    <t>Male</t>
  </si>
  <si>
    <t>Family member</t>
  </si>
  <si>
    <t>Family members/Friends</t>
  </si>
  <si>
    <t>Wealth generation</t>
  </si>
  <si>
    <t>Female</t>
  </si>
  <si>
    <t>Mobile applications</t>
  </si>
  <si>
    <t>Mutual Funds</t>
  </si>
  <si>
    <t xml:space="preserve">Self Interest </t>
  </si>
  <si>
    <t>Books</t>
  </si>
  <si>
    <t>Crypto currency</t>
  </si>
  <si>
    <t xml:space="preserve">Not prepared </t>
  </si>
  <si>
    <t>No one</t>
  </si>
  <si>
    <t>Personal Savings</t>
  </si>
  <si>
    <t>Friends</t>
  </si>
  <si>
    <t>Self</t>
  </si>
  <si>
    <t>Through Bank</t>
  </si>
  <si>
    <t xml:space="preserve">Marketing </t>
  </si>
  <si>
    <t xml:space="preserve">All the above </t>
  </si>
  <si>
    <t xml:space="preserve">Self motivation </t>
  </si>
  <si>
    <t>Tax saving</t>
  </si>
  <si>
    <t xml:space="preserve">Self </t>
  </si>
  <si>
    <t>Chit fund</t>
  </si>
  <si>
    <t>Brokers</t>
  </si>
  <si>
    <t>Schemes</t>
  </si>
  <si>
    <t>Investors in bank</t>
  </si>
  <si>
    <t>Working professional</t>
  </si>
  <si>
    <t>Annual income</t>
  </si>
  <si>
    <t>Investment per month</t>
  </si>
  <si>
    <t>Motivation cause</t>
  </si>
  <si>
    <t>Resources used</t>
  </si>
  <si>
    <t>Goal for investment</t>
  </si>
  <si>
    <t>investment type</t>
  </si>
  <si>
    <t>Investment</t>
  </si>
  <si>
    <t xml:space="preserve">Real estate </t>
  </si>
  <si>
    <t>Bonds</t>
  </si>
  <si>
    <t>Digital Currency</t>
  </si>
  <si>
    <t>Digital Advertising</t>
  </si>
  <si>
    <t>Not prepared</t>
  </si>
  <si>
    <t>Not Prepared</t>
  </si>
  <si>
    <t>Marketing</t>
  </si>
  <si>
    <t>Lands</t>
  </si>
  <si>
    <t>others</t>
  </si>
  <si>
    <t>Banking</t>
  </si>
  <si>
    <t>Stocks</t>
  </si>
  <si>
    <t>Real estate</t>
  </si>
  <si>
    <t>RD, FD</t>
  </si>
  <si>
    <t>Intraday, long term</t>
  </si>
  <si>
    <t>Commodities</t>
  </si>
  <si>
    <t>Gold or Silver</t>
  </si>
  <si>
    <t>News Article</t>
  </si>
  <si>
    <t>Marriage</t>
  </si>
  <si>
    <t>Children Education</t>
  </si>
  <si>
    <t>Construction of own House</t>
  </si>
  <si>
    <t>Financial Freedom</t>
  </si>
  <si>
    <t xml:space="preserve">Duration to save (in Years) </t>
  </si>
  <si>
    <t>Professional</t>
  </si>
  <si>
    <t>Not Working</t>
  </si>
  <si>
    <t>Social Media</t>
  </si>
  <si>
    <t>Agents or Brokers</t>
  </si>
  <si>
    <t>Total Investment</t>
  </si>
  <si>
    <t>Used for data filling</t>
  </si>
  <si>
    <t>Grand Total</t>
  </si>
  <si>
    <t>Sum of Total Investment</t>
  </si>
  <si>
    <t>18-27</t>
  </si>
  <si>
    <t>28-37</t>
  </si>
  <si>
    <t>38-47</t>
  </si>
  <si>
    <t>48-57</t>
  </si>
  <si>
    <t>Age Group</t>
  </si>
  <si>
    <t>Total Investments</t>
  </si>
  <si>
    <t xml:space="preserve">Average of Duration to save (in Years) </t>
  </si>
  <si>
    <t>Investment type</t>
  </si>
  <si>
    <t>Investment Type</t>
  </si>
  <si>
    <t>Average of Investment per month</t>
  </si>
  <si>
    <t>Genders</t>
  </si>
  <si>
    <t>Professionality</t>
  </si>
  <si>
    <t>Average of Annual income</t>
  </si>
  <si>
    <t>Goal</t>
  </si>
  <si>
    <t>Working Profession</t>
  </si>
  <si>
    <t>Resources Used</t>
  </si>
  <si>
    <t>Age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</si>
</sst>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applyAlignment="1">
      <alignment horizontal="center" vertical="center"/>
    </xf>
    <xf numFmtId="0" fontId="18" fillId="0" borderId="0" xfId="0" applyFont="1" applyAlignment="1">
      <alignment horizontal="center" vertical="center"/>
    </xf>
    <xf numFmtId="0" fontId="0" fillId="0" borderId="0" xfId="0" pivotButton="1"/>
    <xf numFmtId="0" fontId="0" fillId="0" borderId="0" xfId="0" applyAlignment="1">
      <alignment horizontal="left"/>
    </xf>
    <xf numFmtId="0" fontId="16" fillId="33" borderId="10" xfId="0" applyFont="1" applyFill="1" applyBorder="1"/>
    <xf numFmtId="164" fontId="0" fillId="0" borderId="0" xfId="0" applyNumberFormat="1"/>
    <xf numFmtId="0" fontId="16" fillId="33" borderId="0" xfId="0" applyFont="1" applyFill="1"/>
    <xf numFmtId="1" fontId="0" fillId="0" borderId="0" xfId="0" applyNumberFormat="1"/>
    <xf numFmtId="164" fontId="0" fillId="0" borderId="0" xfId="1" applyNumberFormat="1" applyFont="1"/>
    <xf numFmtId="0" fontId="0" fillId="0" borderId="0" xfId="0" applyAlignment="1">
      <alignment horizontal="center"/>
    </xf>
    <xf numFmtId="0" fontId="16" fillId="33" borderId="11" xfId="0" applyFont="1" applyFill="1" applyBorder="1" applyAlignment="1">
      <alignment horizontal="left"/>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358">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5" formatCode="_ * #,##0.0_ ;_ * \-#,##0.0_ ;_ * &quot;-&quot;??_ ;_ @_ "/>
    </dxf>
    <dxf>
      <numFmt numFmtId="164" formatCode="_ * #,##0_ ;_ * \-#,##0_ ;_ * &quot;-&quot;??_ ;_ @_ "/>
    </dxf>
    <dxf>
      <numFmt numFmtId="165" formatCode="_ * #,##0.0_ ;_ * \-#,##0.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[investment_survey.xlsx]Pivot_Data!PivotTable1</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600" b="1" baseline="0">
                <a:solidFill>
                  <a:schemeClr val="tx1"/>
                </a:solidFill>
                <a:latin typeface="Calibri" panose="020F0502020204030204" pitchFamily="34" charset="0"/>
              </a:rPr>
              <a:t>Gender Wise Total Investment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barChart>
        <c:barDir val="col"/>
        <c:grouping val="clustered"/>
        <c:varyColors val="0"/>
        <c:ser>
          <c:idx val="0"/>
          <c:order val="0"/>
          <c:tx>
            <c:strRef>
              <c:f>Pivot_Data!$B$3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Calibri" panose="020F050202020403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Pivot_Data!$A$4:$A$6</c:f>
              <c:strCache>
                <c:ptCount val="2"/>
                <c:pt idx="0">
                  <c:v>Female</c:v>
                </c:pt>
                <c:pt idx="1">
                  <c:v>Male</c:v>
                </c:pt>
              </c:strCache>
            </c:strRef>
          </c:cat>
          <c:val>
            <c:numRef>
              <c:f>Pivot_Data!$B$4:$B$6</c:f>
              <c:numCache>
                <c:formatCode>_ * #,##0_ ;_ * \-#,##0_ ;_ * "-"??_ ;_ @_ </c:formatCode>
                <c:ptCount val="2"/>
                <c:pt idx="0">
                  <c:v>6642000</c:v>
                </c:pt>
                <c:pt idx="1">
                  <c:v>17389200</c:v>
                </c:pt>
              </c:numCache>
            </c:numRef>
          </c:val>
          <c:extLst>
            <c:ext xmlns:c16="http://schemas.microsoft.com/office/drawing/2014/chart" uri="{C3380CC4-5D6E-409C-BE32-E72D297353CC}">
              <c16:uniqueId val="{00000000-6576-4B50-B7EC-063C4AB2A115}"/>
            </c:ext>
          </c:extLst>
        </c:ser>
        <c:dLbls>
          <c:showLegendKey val="0"/>
          <c:showVal val="1"/>
          <c:showCatName val="0"/>
          <c:showSerName val="0"/>
          <c:showPercent val="0"/>
          <c:showBubbleSize val="0"/>
        </c:dLbls>
        <c:gapWidth val="200"/>
        <c:axId val="1816970399"/>
        <c:axId val="1816970879"/>
      </c:barChart>
      <c:catAx>
        <c:axId val="1816970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Calibri" panose="020F0502020204030204" pitchFamily="34" charset="0"/>
                <a:ea typeface="+mn-ea"/>
                <a:cs typeface="+mn-cs"/>
              </a:defRPr>
            </a:pPr>
            <a:endParaRPr lang="en-US"/>
          </a:p>
        </c:txPr>
        <c:crossAx val="1816970879"/>
        <c:crosses val="autoZero"/>
        <c:auto val="1"/>
        <c:lblAlgn val="ctr"/>
        <c:lblOffset val="100"/>
        <c:noMultiLvlLbl val="0"/>
      </c:catAx>
      <c:valAx>
        <c:axId val="1816970879"/>
        <c:scaling>
          <c:orientation val="minMax"/>
        </c:scaling>
        <c:delete val="1"/>
        <c:axPos val="l"/>
        <c:numFmt formatCode="_ * #,##0_ ;_ * \-#,##0_ ;_ * &quot;-&quot;??_ ;_ @_ " sourceLinked="1"/>
        <c:majorTickMark val="none"/>
        <c:minorTickMark val="none"/>
        <c:tickLblPos val="nextTo"/>
        <c:crossAx val="1816970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[investment_survey.xlsx]Pivot_Data!PivotTable2</c:name>
    <c:fmtId val="4"/>
  </c:pivotSource>
  <c:chart>
    <c:title>
      <c:tx>
        <c:rich>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r>
              <a:rPr lang="en-US" sz="1600" b="1" baseline="0">
                <a:solidFill>
                  <a:schemeClr val="tx1"/>
                </a:solidFill>
                <a:latin typeface="Calibri" panose="020F0502020204030204" pitchFamily="34" charset="0"/>
              </a:rPr>
              <a:t>Age Group Total Investment</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200" b="0" i="0" u="none" strike="noStrike" kern="1200" baseline="0">
                  <a:solidFill>
                    <a:schemeClr val="tx1"/>
                  </a:solidFill>
                  <a:latin typeface="Calibri" panose="020F0502020204030204" pitchFamily="34" charset="0"/>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3.2994270174800229E-2"/>
              <c:y val="2.6782418292871923E-2"/>
            </c:manualLayout>
          </c:layout>
          <c:spPr>
            <a:noFill/>
            <a:ln>
              <a:noFill/>
            </a:ln>
            <a:effectLst/>
          </c:spPr>
          <c:txPr>
            <a:bodyPr rot="0" spcFirstLastPara="1" vertOverflow="ellipsis" vert="horz" wrap="square" anchor="ctr" anchorCtr="1"/>
            <a:lstStyle/>
            <a:p>
              <a:pPr>
                <a:defRPr lang="en-US" sz="1200" b="0" i="0" u="none" strike="noStrike" kern="1200" baseline="0">
                  <a:solidFill>
                    <a:schemeClr val="tx1"/>
                  </a:solidFill>
                  <a:latin typeface="Calibri" panose="020F0502020204030204" pitchFamily="34" charset="0"/>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6.0563239571585235E-2"/>
              <c:y val="0.27502795239479355"/>
            </c:manualLayout>
          </c:layout>
          <c:spPr>
            <a:noFill/>
            <a:ln>
              <a:noFill/>
            </a:ln>
            <a:effectLst/>
          </c:spPr>
          <c:txPr>
            <a:bodyPr rot="0" spcFirstLastPara="1" vertOverflow="ellipsis" vert="horz" wrap="square" anchor="ctr" anchorCtr="1"/>
            <a:lstStyle/>
            <a:p>
              <a:pPr>
                <a:defRPr lang="en-US" sz="1200" b="0" i="0" u="none" strike="noStrike" kern="1200" baseline="0">
                  <a:solidFill>
                    <a:schemeClr val="tx1"/>
                  </a:solidFill>
                  <a:latin typeface="Calibri" panose="020F0502020204030204" pitchFamily="34" charset="0"/>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26753884077218665"/>
              <c:y val="0.10572891862823264"/>
            </c:manualLayout>
          </c:layout>
          <c:spPr>
            <a:noFill/>
            <a:ln>
              <a:noFill/>
            </a:ln>
            <a:effectLst/>
          </c:spPr>
          <c:txPr>
            <a:bodyPr rot="0" spcFirstLastPara="1" vertOverflow="ellipsis" vert="horz" wrap="square" anchor="ctr" anchorCtr="1"/>
            <a:lstStyle/>
            <a:p>
              <a:pPr>
                <a:defRPr lang="en-US" sz="1200" b="0" i="0" u="none" strike="noStrike" kern="1200" baseline="0">
                  <a:solidFill>
                    <a:schemeClr val="tx1"/>
                  </a:solidFill>
                  <a:latin typeface="Calibri" panose="020F0502020204030204" pitchFamily="34" charset="0"/>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22865462400426337"/>
              <c:y val="8.9133976873230839E-2"/>
            </c:manualLayout>
          </c:layout>
          <c:spPr>
            <a:noFill/>
            <a:ln>
              <a:noFill/>
            </a:ln>
            <a:effectLst/>
          </c:spPr>
          <c:txPr>
            <a:bodyPr rot="0" spcFirstLastPara="1" vertOverflow="ellipsis" vert="horz" wrap="square" anchor="ctr" anchorCtr="1"/>
            <a:lstStyle/>
            <a:p>
              <a:pPr>
                <a:defRPr lang="en-US" sz="1200" b="0" i="0" u="none" strike="noStrike" kern="1200" baseline="0">
                  <a:solidFill>
                    <a:schemeClr val="tx1"/>
                  </a:solidFill>
                  <a:latin typeface="Calibri" panose="020F0502020204030204" pitchFamily="34" charset="0"/>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s>
    <c:plotArea>
      <c:layout/>
      <c:pieChart>
        <c:varyColors val="1"/>
        <c:ser>
          <c:idx val="0"/>
          <c:order val="0"/>
          <c:tx>
            <c:strRef>
              <c:f>Pivot_Data!$E$3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BCE-42CA-B512-D0FAFA4F48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BCE-42CA-B512-D0FAFA4F482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BCE-42CA-B512-D0FAFA4F482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BCE-42CA-B512-D0FAFA4F482B}"/>
              </c:ext>
            </c:extLst>
          </c:dPt>
          <c:dLbls>
            <c:dLbl>
              <c:idx val="0"/>
              <c:layout>
                <c:manualLayout>
                  <c:x val="3.2994270174800229E-2"/>
                  <c:y val="2.678241829287192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CBCE-42CA-B512-D0FAFA4F482B}"/>
                </c:ext>
              </c:extLst>
            </c:dLbl>
            <c:dLbl>
              <c:idx val="1"/>
              <c:layout>
                <c:manualLayout>
                  <c:x val="-6.0563239571585235E-2"/>
                  <c:y val="0.27502795239479355"/>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CBCE-42CA-B512-D0FAFA4F482B}"/>
                </c:ext>
              </c:extLst>
            </c:dLbl>
            <c:dLbl>
              <c:idx val="2"/>
              <c:layout>
                <c:manualLayout>
                  <c:x val="-0.26753884077218665"/>
                  <c:y val="0.10572891862823264"/>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CBCE-42CA-B512-D0FAFA4F482B}"/>
                </c:ext>
              </c:extLst>
            </c:dLbl>
            <c:dLbl>
              <c:idx val="3"/>
              <c:layout>
                <c:manualLayout>
                  <c:x val="0.22865462400426337"/>
                  <c:y val="8.913397687323083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CBCE-42CA-B512-D0FAFA4F482B}"/>
                </c:ext>
              </c:extLst>
            </c:dLbl>
            <c:spPr>
              <a:noFill/>
              <a:ln>
                <a:noFill/>
              </a:ln>
              <a:effectLst/>
            </c:spPr>
            <c:txPr>
              <a:bodyPr rot="0" spcFirstLastPara="1" vertOverflow="ellipsis" vert="horz" wrap="square" anchor="ctr" anchorCtr="1"/>
              <a:lstStyle/>
              <a:p>
                <a:pPr>
                  <a:defRPr lang="en-US" sz="1200" b="0" i="0" u="none" strike="noStrike" kern="1200" baseline="0">
                    <a:solidFill>
                      <a:schemeClr val="tx1"/>
                    </a:solidFill>
                    <a:latin typeface="Calibri" panose="020F0502020204030204" pitchFamily="34" charset="0"/>
                    <a:ea typeface="+mn-ea"/>
                    <a:cs typeface="+mn-cs"/>
                  </a:defRPr>
                </a:pPr>
                <a:endParaRPr lang="en-US"/>
              </a:p>
            </c:txPr>
            <c:dLblPos val="bestFit"/>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Pivot_Data!$D$4:$D$8</c:f>
              <c:strCache>
                <c:ptCount val="4"/>
                <c:pt idx="0">
                  <c:v>18-27</c:v>
                </c:pt>
                <c:pt idx="1">
                  <c:v>28-37</c:v>
                </c:pt>
                <c:pt idx="2">
                  <c:v>38-47</c:v>
                </c:pt>
                <c:pt idx="3">
                  <c:v>48-57</c:v>
                </c:pt>
              </c:strCache>
            </c:strRef>
          </c:cat>
          <c:val>
            <c:numRef>
              <c:f>Pivot_Data!$E$4:$E$8</c:f>
              <c:numCache>
                <c:formatCode>_ * #,##0_ ;_ * \-#,##0_ ;_ * "-"??_ ;_ @_ </c:formatCode>
                <c:ptCount val="4"/>
                <c:pt idx="0">
                  <c:v>16393200</c:v>
                </c:pt>
                <c:pt idx="1">
                  <c:v>7050000</c:v>
                </c:pt>
                <c:pt idx="2">
                  <c:v>480000</c:v>
                </c:pt>
                <c:pt idx="3">
                  <c:v>108000</c:v>
                </c:pt>
              </c:numCache>
            </c:numRef>
          </c:val>
          <c:extLst>
            <c:ext xmlns:c16="http://schemas.microsoft.com/office/drawing/2014/chart" uri="{C3380CC4-5D6E-409C-BE32-E72D297353CC}">
              <c16:uniqueId val="{00000008-CBCE-42CA-B512-D0FAFA4F482B}"/>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Calibri" panose="020F0502020204030204" pitchFamily="34" charset="0"/>
                <a:ea typeface="+mn-ea"/>
                <a:cs typeface="+mn-cs"/>
              </a:defRPr>
            </a:pPr>
            <a:r>
              <a:rPr lang="en-IN" sz="1600" b="1" baseline="0">
                <a:solidFill>
                  <a:schemeClr val="tx1"/>
                </a:solidFill>
              </a:rPr>
              <a:t>Gender Wise Investment of Age Group</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Calibri" panose="020F0502020204030204" pitchFamily="34" charset="0"/>
              <a:ea typeface="+mn-ea"/>
              <a:cs typeface="+mn-cs"/>
            </a:defRPr>
          </a:pPr>
          <a:endParaRPr lang="en-US"/>
        </a:p>
      </c:txPr>
    </c:title>
    <c:autoTitleDeleted val="0"/>
    <c:plotArea>
      <c:layout/>
      <c:barChart>
        <c:barDir val="bar"/>
        <c:grouping val="percentStacked"/>
        <c:varyColors val="0"/>
        <c:ser>
          <c:idx val="0"/>
          <c:order val="0"/>
          <c:tx>
            <c:strRef>
              <c:f>Pivot_Data!$H$14</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Pivot_Data!$G$15:$G$18</c:f>
              <c:strCache>
                <c:ptCount val="4"/>
                <c:pt idx="0">
                  <c:v>18-27</c:v>
                </c:pt>
                <c:pt idx="1">
                  <c:v>28-37</c:v>
                </c:pt>
                <c:pt idx="2">
                  <c:v>38-47</c:v>
                </c:pt>
                <c:pt idx="3">
                  <c:v>48-57</c:v>
                </c:pt>
              </c:strCache>
            </c:strRef>
          </c:cat>
          <c:val>
            <c:numRef>
              <c:f>Pivot_Data!$H$15:$H$18</c:f>
              <c:numCache>
                <c:formatCode>_ * #,##0_ ;_ * \-#,##0_ ;_ * "-"??_ ;_ @_ </c:formatCode>
                <c:ptCount val="4"/>
                <c:pt idx="0">
                  <c:v>4218000</c:v>
                </c:pt>
                <c:pt idx="1">
                  <c:v>1944000</c:v>
                </c:pt>
                <c:pt idx="2">
                  <c:v>480000</c:v>
                </c:pt>
              </c:numCache>
            </c:numRef>
          </c:val>
          <c:extLst>
            <c:ext xmlns:c16="http://schemas.microsoft.com/office/drawing/2014/chart" uri="{C3380CC4-5D6E-409C-BE32-E72D297353CC}">
              <c16:uniqueId val="{00000000-DA4E-4120-BB0E-4D4D119D712F}"/>
            </c:ext>
          </c:extLst>
        </c:ser>
        <c:ser>
          <c:idx val="1"/>
          <c:order val="1"/>
          <c:tx>
            <c:strRef>
              <c:f>Pivot_Data!$I$14</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Pivot_Data!$G$15:$G$18</c:f>
              <c:strCache>
                <c:ptCount val="4"/>
                <c:pt idx="0">
                  <c:v>18-27</c:v>
                </c:pt>
                <c:pt idx="1">
                  <c:v>28-37</c:v>
                </c:pt>
                <c:pt idx="2">
                  <c:v>38-47</c:v>
                </c:pt>
                <c:pt idx="3">
                  <c:v>48-57</c:v>
                </c:pt>
              </c:strCache>
            </c:strRef>
          </c:cat>
          <c:val>
            <c:numRef>
              <c:f>Pivot_Data!$I$15:$I$18</c:f>
              <c:numCache>
                <c:formatCode>_ * #,##0_ ;_ * \-#,##0_ ;_ * "-"??_ ;_ @_ </c:formatCode>
                <c:ptCount val="4"/>
                <c:pt idx="0">
                  <c:v>12175200</c:v>
                </c:pt>
                <c:pt idx="1">
                  <c:v>5106000</c:v>
                </c:pt>
                <c:pt idx="3">
                  <c:v>108000</c:v>
                </c:pt>
              </c:numCache>
            </c:numRef>
          </c:val>
          <c:extLst>
            <c:ext xmlns:c16="http://schemas.microsoft.com/office/drawing/2014/chart" uri="{C3380CC4-5D6E-409C-BE32-E72D297353CC}">
              <c16:uniqueId val="{00000001-DA4E-4120-BB0E-4D4D119D712F}"/>
            </c:ext>
          </c:extLst>
        </c:ser>
        <c:dLbls>
          <c:showLegendKey val="0"/>
          <c:showVal val="1"/>
          <c:showCatName val="0"/>
          <c:showSerName val="0"/>
          <c:showPercent val="0"/>
          <c:showBubbleSize val="0"/>
        </c:dLbls>
        <c:gapWidth val="150"/>
        <c:overlap val="100"/>
        <c:axId val="2006072767"/>
        <c:axId val="2006078527"/>
      </c:barChart>
      <c:catAx>
        <c:axId val="2006072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Calibri" panose="020F0502020204030204" pitchFamily="34" charset="0"/>
                <a:ea typeface="+mn-ea"/>
                <a:cs typeface="+mn-cs"/>
              </a:defRPr>
            </a:pPr>
            <a:endParaRPr lang="en-US"/>
          </a:p>
        </c:txPr>
        <c:crossAx val="2006078527"/>
        <c:crosses val="autoZero"/>
        <c:auto val="1"/>
        <c:lblAlgn val="ctr"/>
        <c:lblOffset val="100"/>
        <c:noMultiLvlLbl val="0"/>
      </c:catAx>
      <c:valAx>
        <c:axId val="200607852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Calibri" panose="020F0502020204030204" pitchFamily="34" charset="0"/>
                <a:ea typeface="+mn-ea"/>
                <a:cs typeface="+mn-cs"/>
              </a:defRPr>
            </a:pPr>
            <a:endParaRPr lang="en-US"/>
          </a:p>
        </c:txPr>
        <c:crossAx val="20060727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Calibri" panose="020F050202020403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sz="1400" baseline="0">
          <a:latin typeface="Calibri" panose="020F0502020204030204"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[investment_survey.xlsx]Pivot_Data!PivotTable21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baseline="0">
                <a:solidFill>
                  <a:schemeClr val="tx1"/>
                </a:solidFill>
                <a:latin typeface="Calibri" panose="020F0502020204030204" pitchFamily="34" charset="0"/>
              </a:rPr>
              <a:t>Investment by Working Profession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Pivot_Data!$P$34:$P$35</c:f>
              <c:strCache>
                <c:ptCount val="1"/>
                <c:pt idx="0">
                  <c:v>Professional</c:v>
                </c:pt>
              </c:strCache>
            </c:strRef>
          </c:tx>
          <c:spPr>
            <a:solidFill>
              <a:schemeClr val="accent1"/>
            </a:solidFill>
            <a:ln>
              <a:noFill/>
            </a:ln>
            <a:effectLst/>
          </c:spPr>
          <c:invertIfNegative val="0"/>
          <c:cat>
            <c:strRef>
              <c:f>Pivot_Data!$O$36:$O$45</c:f>
              <c:strCache>
                <c:ptCount val="9"/>
                <c:pt idx="0">
                  <c:v>Bonds</c:v>
                </c:pt>
                <c:pt idx="1">
                  <c:v>Digital Advertising</c:v>
                </c:pt>
                <c:pt idx="2">
                  <c:v>Digital Currency</c:v>
                </c:pt>
                <c:pt idx="3">
                  <c:v>Gold or Silver</c:v>
                </c:pt>
                <c:pt idx="4">
                  <c:v>Intraday, long term</c:v>
                </c:pt>
                <c:pt idx="5">
                  <c:v>Lands</c:v>
                </c:pt>
                <c:pt idx="6">
                  <c:v>Not Prepared</c:v>
                </c:pt>
                <c:pt idx="7">
                  <c:v>others</c:v>
                </c:pt>
                <c:pt idx="8">
                  <c:v>RD, FD</c:v>
                </c:pt>
              </c:strCache>
            </c:strRef>
          </c:cat>
          <c:val>
            <c:numRef>
              <c:f>Pivot_Data!$P$36:$P$45</c:f>
              <c:numCache>
                <c:formatCode>_ * #,##0_ ;_ * \-#,##0_ ;_ * "-"??_ ;_ @_ </c:formatCode>
                <c:ptCount val="9"/>
                <c:pt idx="0">
                  <c:v>6738000</c:v>
                </c:pt>
                <c:pt idx="2">
                  <c:v>180000</c:v>
                </c:pt>
                <c:pt idx="3">
                  <c:v>948000</c:v>
                </c:pt>
                <c:pt idx="4">
                  <c:v>2683200</c:v>
                </c:pt>
                <c:pt idx="5">
                  <c:v>2430000</c:v>
                </c:pt>
                <c:pt idx="6">
                  <c:v>360000</c:v>
                </c:pt>
                <c:pt idx="8">
                  <c:v>3234000</c:v>
                </c:pt>
              </c:numCache>
            </c:numRef>
          </c:val>
          <c:extLst>
            <c:ext xmlns:c16="http://schemas.microsoft.com/office/drawing/2014/chart" uri="{C3380CC4-5D6E-409C-BE32-E72D297353CC}">
              <c16:uniqueId val="{00000000-4C88-48C5-935D-B8DA223B494A}"/>
            </c:ext>
          </c:extLst>
        </c:ser>
        <c:ser>
          <c:idx val="1"/>
          <c:order val="1"/>
          <c:tx>
            <c:strRef>
              <c:f>Pivot_Data!$Q$34:$Q$35</c:f>
              <c:strCache>
                <c:ptCount val="1"/>
                <c:pt idx="0">
                  <c:v>Not Working</c:v>
                </c:pt>
              </c:strCache>
            </c:strRef>
          </c:tx>
          <c:spPr>
            <a:solidFill>
              <a:schemeClr val="accent2"/>
            </a:solidFill>
            <a:ln>
              <a:noFill/>
            </a:ln>
            <a:effectLst/>
          </c:spPr>
          <c:invertIfNegative val="0"/>
          <c:cat>
            <c:strRef>
              <c:f>Pivot_Data!$O$36:$O$45</c:f>
              <c:strCache>
                <c:ptCount val="9"/>
                <c:pt idx="0">
                  <c:v>Bonds</c:v>
                </c:pt>
                <c:pt idx="1">
                  <c:v>Digital Advertising</c:v>
                </c:pt>
                <c:pt idx="2">
                  <c:v>Digital Currency</c:v>
                </c:pt>
                <c:pt idx="3">
                  <c:v>Gold or Silver</c:v>
                </c:pt>
                <c:pt idx="4">
                  <c:v>Intraday, long term</c:v>
                </c:pt>
                <c:pt idx="5">
                  <c:v>Lands</c:v>
                </c:pt>
                <c:pt idx="6">
                  <c:v>Not Prepared</c:v>
                </c:pt>
                <c:pt idx="7">
                  <c:v>others</c:v>
                </c:pt>
                <c:pt idx="8">
                  <c:v>RD, FD</c:v>
                </c:pt>
              </c:strCache>
            </c:strRef>
          </c:cat>
          <c:val>
            <c:numRef>
              <c:f>Pivot_Data!$Q$36:$Q$45</c:f>
              <c:numCache>
                <c:formatCode>_ * #,##0_ ;_ * \-#,##0_ ;_ * "-"??_ ;_ @_ </c:formatCode>
                <c:ptCount val="9"/>
                <c:pt idx="0">
                  <c:v>1380000</c:v>
                </c:pt>
                <c:pt idx="1">
                  <c:v>120000</c:v>
                </c:pt>
                <c:pt idx="2">
                  <c:v>1020000</c:v>
                </c:pt>
                <c:pt idx="3">
                  <c:v>282000</c:v>
                </c:pt>
                <c:pt idx="4">
                  <c:v>1902000</c:v>
                </c:pt>
                <c:pt idx="7">
                  <c:v>12000</c:v>
                </c:pt>
                <c:pt idx="8">
                  <c:v>2742000</c:v>
                </c:pt>
              </c:numCache>
            </c:numRef>
          </c:val>
          <c:extLst>
            <c:ext xmlns:c16="http://schemas.microsoft.com/office/drawing/2014/chart" uri="{C3380CC4-5D6E-409C-BE32-E72D297353CC}">
              <c16:uniqueId val="{00000006-4C88-48C5-935D-B8DA223B494A}"/>
            </c:ext>
          </c:extLst>
        </c:ser>
        <c:dLbls>
          <c:showLegendKey val="0"/>
          <c:showVal val="0"/>
          <c:showCatName val="0"/>
          <c:showSerName val="0"/>
          <c:showPercent val="0"/>
          <c:showBubbleSize val="0"/>
        </c:dLbls>
        <c:gapWidth val="219"/>
        <c:overlap val="-27"/>
        <c:axId val="881191871"/>
        <c:axId val="881190431"/>
      </c:barChart>
      <c:catAx>
        <c:axId val="881191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Calibri" panose="020F0502020204030204" pitchFamily="34" charset="0"/>
                <a:ea typeface="+mn-ea"/>
                <a:cs typeface="+mn-cs"/>
              </a:defRPr>
            </a:pPr>
            <a:endParaRPr lang="en-US"/>
          </a:p>
        </c:txPr>
        <c:crossAx val="881190431"/>
        <c:crosses val="autoZero"/>
        <c:auto val="1"/>
        <c:lblAlgn val="ctr"/>
        <c:lblOffset val="100"/>
        <c:noMultiLvlLbl val="0"/>
      </c:catAx>
      <c:valAx>
        <c:axId val="881190431"/>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Calibri" panose="020F0502020204030204" pitchFamily="34" charset="0"/>
                <a:ea typeface="+mn-ea"/>
                <a:cs typeface="+mn-cs"/>
              </a:defRPr>
            </a:pPr>
            <a:endParaRPr lang="en-US"/>
          </a:p>
        </c:txPr>
        <c:crossAx val="8811918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Calibri" panose="020F050202020403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[investment_survey.xlsx]Pivot_Data!PivotTable24</c:name>
    <c:fmtId val="15"/>
  </c:pivotSource>
  <c:chart>
    <c:title>
      <c:tx>
        <c:rich>
          <a:bodyPr rot="0" spcFirstLastPara="1" vertOverflow="ellipsis" vert="horz" wrap="square" anchor="ctr" anchorCtr="1"/>
          <a:lstStyle/>
          <a:p>
            <a:pPr>
              <a:defRPr sz="1600" b="1" i="0" u="none" strike="noStrike" kern="1200" spc="0" baseline="0">
                <a:solidFill>
                  <a:schemeClr val="tx1"/>
                </a:solidFill>
                <a:latin typeface="Calibri" panose="020F0502020204030204" pitchFamily="34" charset="0"/>
                <a:ea typeface="+mn-ea"/>
                <a:cs typeface="+mn-cs"/>
              </a:defRPr>
            </a:pPr>
            <a:r>
              <a:rPr lang="en-US" sz="1600" b="1" baseline="0">
                <a:solidFill>
                  <a:schemeClr val="tx1"/>
                </a:solidFill>
              </a:rPr>
              <a:t>Average Years of Investing</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Calibri" panose="020F0502020204030204" pitchFamily="34" charset="0"/>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Pivot_Data!$M$64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Calibri" panose="020F050202020403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Pivot_Data!$L$65:$L$74</c:f>
              <c:strCache>
                <c:ptCount val="9"/>
                <c:pt idx="0">
                  <c:v>Bonds</c:v>
                </c:pt>
                <c:pt idx="1">
                  <c:v>Digital Advertising</c:v>
                </c:pt>
                <c:pt idx="2">
                  <c:v>Digital Currency</c:v>
                </c:pt>
                <c:pt idx="3">
                  <c:v>Gold or Silver</c:v>
                </c:pt>
                <c:pt idx="4">
                  <c:v>Intraday, long term</c:v>
                </c:pt>
                <c:pt idx="5">
                  <c:v>Lands</c:v>
                </c:pt>
                <c:pt idx="6">
                  <c:v>Not Prepared</c:v>
                </c:pt>
                <c:pt idx="7">
                  <c:v>others</c:v>
                </c:pt>
                <c:pt idx="8">
                  <c:v>RD, FD</c:v>
                </c:pt>
              </c:strCache>
            </c:strRef>
          </c:cat>
          <c:val>
            <c:numRef>
              <c:f>Pivot_Data!$M$65:$M$74</c:f>
              <c:numCache>
                <c:formatCode>_ * #,##0_ ;_ * \-#,##0_ ;_ * "-"??_ ;_ @_ </c:formatCode>
                <c:ptCount val="9"/>
                <c:pt idx="0">
                  <c:v>9.5769230769230766</c:v>
                </c:pt>
                <c:pt idx="1">
                  <c:v>2</c:v>
                </c:pt>
                <c:pt idx="2">
                  <c:v>6.75</c:v>
                </c:pt>
                <c:pt idx="3">
                  <c:v>5.0909090909090908</c:v>
                </c:pt>
                <c:pt idx="4">
                  <c:v>7.3448275862068968</c:v>
                </c:pt>
                <c:pt idx="5">
                  <c:v>8.75</c:v>
                </c:pt>
                <c:pt idx="6">
                  <c:v>15</c:v>
                </c:pt>
                <c:pt idx="7">
                  <c:v>1</c:v>
                </c:pt>
                <c:pt idx="8">
                  <c:v>8.3636363636363633</c:v>
                </c:pt>
              </c:numCache>
            </c:numRef>
          </c:val>
          <c:extLst>
            <c:ext xmlns:c16="http://schemas.microsoft.com/office/drawing/2014/chart" uri="{C3380CC4-5D6E-409C-BE32-E72D297353CC}">
              <c16:uniqueId val="{00000000-D0CB-441E-AA6F-66FC248E01D3}"/>
            </c:ext>
          </c:extLst>
        </c:ser>
        <c:dLbls>
          <c:showLegendKey val="0"/>
          <c:showVal val="1"/>
          <c:showCatName val="0"/>
          <c:showSerName val="0"/>
          <c:showPercent val="0"/>
          <c:showBubbleSize val="0"/>
        </c:dLbls>
        <c:gapWidth val="219"/>
        <c:axId val="843978303"/>
        <c:axId val="579876703"/>
      </c:barChart>
      <c:catAx>
        <c:axId val="8439783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Calibri" panose="020F0502020204030204" pitchFamily="34" charset="0"/>
                <a:ea typeface="+mn-ea"/>
                <a:cs typeface="+mn-cs"/>
              </a:defRPr>
            </a:pPr>
            <a:endParaRPr lang="en-US"/>
          </a:p>
        </c:txPr>
        <c:crossAx val="579876703"/>
        <c:crosses val="autoZero"/>
        <c:auto val="1"/>
        <c:lblAlgn val="ctr"/>
        <c:lblOffset val="100"/>
        <c:noMultiLvlLbl val="0"/>
      </c:catAx>
      <c:valAx>
        <c:axId val="579876703"/>
        <c:scaling>
          <c:orientation val="minMax"/>
        </c:scaling>
        <c:delete val="1"/>
        <c:axPos val="b"/>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crossAx val="8439783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1"/>
      </a:solidFill>
      <a:round/>
    </a:ln>
    <a:effectLst/>
  </c:spPr>
  <c:txPr>
    <a:bodyPr/>
    <a:lstStyle/>
    <a:p>
      <a:pPr>
        <a:defRPr baseline="0">
          <a:latin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[investment_survey.xlsx]Pivot_Data!PivotTable29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baseline="0">
                <a:solidFill>
                  <a:schemeClr val="tx1"/>
                </a:solidFill>
                <a:latin typeface="Calibri" panose="020F0502020204030204" pitchFamily="34" charset="0"/>
              </a:rPr>
              <a:t>Gender Wise Average Income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t" anchorCtr="1">
              <a:spAutoFit/>
            </a:bodyPr>
            <a:lstStyle/>
            <a:p>
              <a:pPr>
                <a:defRPr sz="1200" b="0" i="0" u="none" strike="noStrike" kern="1200" baseline="0">
                  <a:solidFill>
                    <a:schemeClr val="tx1"/>
                  </a:solidFill>
                  <a:latin typeface="Calibri" panose="020F0502020204030204" pitchFamily="34"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4825515646318052"/>
              <c:y val="-2.141120041810848E-2"/>
            </c:manualLayout>
          </c:layout>
          <c:spPr>
            <a:noFill/>
            <a:ln>
              <a:noFill/>
            </a:ln>
            <a:effectLst/>
          </c:spPr>
          <c:txPr>
            <a:bodyPr rot="0" spcFirstLastPara="1" vertOverflow="ellipsis" vert="horz" wrap="square" lIns="38100" tIns="19050" rIns="38100" bIns="19050" anchor="t" anchorCtr="1">
              <a:spAutoFit/>
            </a:bodyPr>
            <a:lstStyle/>
            <a:p>
              <a:pPr>
                <a:defRPr sz="1200" b="0" i="0" u="none" strike="noStrike" kern="1200" baseline="0">
                  <a:solidFill>
                    <a:schemeClr val="tx1"/>
                  </a:solidFill>
                  <a:latin typeface="Calibri" panose="020F0502020204030204" pitchFamily="34"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5354998347972279"/>
              <c:y val="-4.8175200940744081E-2"/>
            </c:manualLayout>
          </c:layout>
          <c:spPr>
            <a:noFill/>
            <a:ln>
              <a:noFill/>
            </a:ln>
            <a:effectLst/>
          </c:spPr>
          <c:txPr>
            <a:bodyPr rot="0" spcFirstLastPara="1" vertOverflow="ellipsis" vert="horz" wrap="square" lIns="38100" tIns="19050" rIns="38100" bIns="19050" anchor="t" anchorCtr="1">
              <a:spAutoFit/>
            </a:bodyPr>
            <a:lstStyle/>
            <a:p>
              <a:pPr>
                <a:defRPr sz="1200" b="0" i="0" u="none" strike="noStrike" kern="1200" baseline="0">
                  <a:solidFill>
                    <a:schemeClr val="tx1"/>
                  </a:solidFill>
                  <a:latin typeface="Calibri" panose="020F0502020204030204" pitchFamily="34"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s>
    <c:plotArea>
      <c:layout/>
      <c:doughnutChart>
        <c:varyColors val="1"/>
        <c:ser>
          <c:idx val="0"/>
          <c:order val="0"/>
          <c:tx>
            <c:strRef>
              <c:f>Pivot_Data!$M$85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E5D-49E9-B569-1C08BFFD81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E5D-49E9-B569-1C08BFFD81C9}"/>
              </c:ext>
            </c:extLst>
          </c:dPt>
          <c:dLbls>
            <c:dLbl>
              <c:idx val="0"/>
              <c:layout>
                <c:manualLayout>
                  <c:x val="0.14825515646318052"/>
                  <c:y val="-2.141120041810848E-2"/>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1E5D-49E9-B569-1C08BFFD81C9}"/>
                </c:ext>
              </c:extLst>
            </c:dLbl>
            <c:dLbl>
              <c:idx val="1"/>
              <c:layout>
                <c:manualLayout>
                  <c:x val="-0.15354998347972279"/>
                  <c:y val="-4.8175200940744081E-2"/>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1E5D-49E9-B569-1C08BFFD81C9}"/>
                </c:ext>
              </c:extLst>
            </c:dLbl>
            <c:spPr>
              <a:noFill/>
              <a:ln>
                <a:noFill/>
              </a:ln>
              <a:effectLst/>
            </c:spPr>
            <c:txPr>
              <a:bodyPr rot="0" spcFirstLastPara="1" vertOverflow="ellipsis" vert="horz" wrap="square" lIns="38100" tIns="19050" rIns="38100" bIns="19050" anchor="t" anchorCtr="1">
                <a:spAutoFit/>
              </a:bodyPr>
              <a:lstStyle/>
              <a:p>
                <a:pPr>
                  <a:defRPr sz="1200" b="0" i="0" u="none" strike="noStrike" kern="1200" baseline="0">
                    <a:solidFill>
                      <a:schemeClr val="tx1"/>
                    </a:solidFill>
                    <a:latin typeface="Calibri" panose="020F0502020204030204" pitchFamily="34" charset="0"/>
                    <a:ea typeface="+mn-ea"/>
                    <a:cs typeface="+mn-cs"/>
                  </a:defRPr>
                </a:pPr>
                <a:endParaRPr lang="en-US"/>
              </a:p>
            </c:txPr>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Pivot_Data!$L$86:$L$88</c:f>
              <c:strCache>
                <c:ptCount val="2"/>
                <c:pt idx="0">
                  <c:v>Female</c:v>
                </c:pt>
                <c:pt idx="1">
                  <c:v>Male</c:v>
                </c:pt>
              </c:strCache>
            </c:strRef>
          </c:cat>
          <c:val>
            <c:numRef>
              <c:f>Pivot_Data!$M$86:$M$88</c:f>
              <c:numCache>
                <c:formatCode>_ * #,##0_ ;_ * \-#,##0_ ;_ * "-"??_ ;_ @_ </c:formatCode>
                <c:ptCount val="2"/>
                <c:pt idx="0">
                  <c:v>137500</c:v>
                </c:pt>
                <c:pt idx="1">
                  <c:v>185620.31746031746</c:v>
                </c:pt>
              </c:numCache>
            </c:numRef>
          </c:val>
          <c:extLst>
            <c:ext xmlns:c16="http://schemas.microsoft.com/office/drawing/2014/chart" uri="{C3380CC4-5D6E-409C-BE32-E72D297353CC}">
              <c16:uniqueId val="{00000004-1E5D-49E9-B569-1C08BFFD81C9}"/>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[investment_survey.xlsx]Pivot_Data!PivotTable30</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baseline="0">
                <a:solidFill>
                  <a:schemeClr val="tx1"/>
                </a:solidFill>
                <a:latin typeface="Calibri" panose="020F0502020204030204" pitchFamily="34" charset="0"/>
              </a:rPr>
              <a:t>Investment of Working Profession and Goal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alpha val="99000"/>
              </a:schemeClr>
            </a:solidFill>
            <a:round/>
          </a:ln>
          <a:effectLst/>
        </c:spPr>
        <c:marker>
          <c:symbol val="circle"/>
          <c:size val="5"/>
          <c:spPr>
            <a:solidFill>
              <a:schemeClr val="accent1"/>
            </a:solidFill>
            <a:ln w="1905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190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Pivot_Data!$C$35:$C$36</c:f>
              <c:strCache>
                <c:ptCount val="1"/>
                <c:pt idx="0">
                  <c:v>Not Working</c:v>
                </c:pt>
              </c:strCache>
            </c:strRef>
          </c:tx>
          <c:spPr>
            <a:ln w="28575" cap="rnd">
              <a:solidFill>
                <a:schemeClr val="accent1">
                  <a:alpha val="99000"/>
                </a:schemeClr>
              </a:solidFill>
              <a:round/>
            </a:ln>
            <a:effectLst/>
          </c:spPr>
          <c:marker>
            <c:symbol val="circle"/>
            <c:size val="5"/>
            <c:spPr>
              <a:solidFill>
                <a:schemeClr val="accent1"/>
              </a:solidFill>
              <a:ln w="19050">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Pivot_Data!$B$37:$B$45</c:f>
              <c:strCache>
                <c:ptCount val="8"/>
                <c:pt idx="0">
                  <c:v>All the above </c:v>
                </c:pt>
                <c:pt idx="1">
                  <c:v>Children Education</c:v>
                </c:pt>
                <c:pt idx="2">
                  <c:v>Construction of own House</c:v>
                </c:pt>
                <c:pt idx="3">
                  <c:v>Financial Freedom</c:v>
                </c:pt>
                <c:pt idx="4">
                  <c:v>Marriage</c:v>
                </c:pt>
                <c:pt idx="5">
                  <c:v>Personal Savings</c:v>
                </c:pt>
                <c:pt idx="6">
                  <c:v>Tax saving</c:v>
                </c:pt>
                <c:pt idx="7">
                  <c:v>Wealth generation</c:v>
                </c:pt>
              </c:strCache>
            </c:strRef>
          </c:cat>
          <c:val>
            <c:numRef>
              <c:f>Pivot_Data!$C$37:$C$45</c:f>
              <c:numCache>
                <c:formatCode>_ * #,##0_ ;_ * \-#,##0_ ;_ * "-"??_ ;_ @_ </c:formatCode>
                <c:ptCount val="8"/>
                <c:pt idx="0">
                  <c:v>72000</c:v>
                </c:pt>
                <c:pt idx="1">
                  <c:v>1068000</c:v>
                </c:pt>
                <c:pt idx="2">
                  <c:v>402000</c:v>
                </c:pt>
                <c:pt idx="3">
                  <c:v>1632000</c:v>
                </c:pt>
                <c:pt idx="4">
                  <c:v>30000</c:v>
                </c:pt>
                <c:pt idx="5">
                  <c:v>3174000</c:v>
                </c:pt>
                <c:pt idx="7">
                  <c:v>1080000</c:v>
                </c:pt>
              </c:numCache>
            </c:numRef>
          </c:val>
          <c:smooth val="1"/>
          <c:extLst>
            <c:ext xmlns:c16="http://schemas.microsoft.com/office/drawing/2014/chart" uri="{C3380CC4-5D6E-409C-BE32-E72D297353CC}">
              <c16:uniqueId val="{00000000-E63E-44EC-9CE1-3DD8232A0CDD}"/>
            </c:ext>
          </c:extLst>
        </c:ser>
        <c:ser>
          <c:idx val="1"/>
          <c:order val="1"/>
          <c:tx>
            <c:strRef>
              <c:f>Pivot_Data!$D$35:$D$36</c:f>
              <c:strCache>
                <c:ptCount val="1"/>
                <c:pt idx="0">
                  <c:v>Professional</c:v>
                </c:pt>
              </c:strCache>
            </c:strRef>
          </c:tx>
          <c:spPr>
            <a:ln w="28575" cap="rnd">
              <a:solidFill>
                <a:schemeClr val="accent2"/>
              </a:solidFill>
              <a:round/>
            </a:ln>
            <a:effectLst/>
          </c:spPr>
          <c:marker>
            <c:symbol val="circle"/>
            <c:size val="5"/>
            <c:spPr>
              <a:solidFill>
                <a:schemeClr val="accent2"/>
              </a:solidFill>
              <a:ln w="19050">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Pivot_Data!$B$37:$B$45</c:f>
              <c:strCache>
                <c:ptCount val="8"/>
                <c:pt idx="0">
                  <c:v>All the above </c:v>
                </c:pt>
                <c:pt idx="1">
                  <c:v>Children Education</c:v>
                </c:pt>
                <c:pt idx="2">
                  <c:v>Construction of own House</c:v>
                </c:pt>
                <c:pt idx="3">
                  <c:v>Financial Freedom</c:v>
                </c:pt>
                <c:pt idx="4">
                  <c:v>Marriage</c:v>
                </c:pt>
                <c:pt idx="5">
                  <c:v>Personal Savings</c:v>
                </c:pt>
                <c:pt idx="6">
                  <c:v>Tax saving</c:v>
                </c:pt>
                <c:pt idx="7">
                  <c:v>Wealth generation</c:v>
                </c:pt>
              </c:strCache>
            </c:strRef>
          </c:cat>
          <c:val>
            <c:numRef>
              <c:f>Pivot_Data!$D$37:$D$45</c:f>
              <c:numCache>
                <c:formatCode>_ * #,##0_ ;_ * \-#,##0_ ;_ * "-"??_ ;_ @_ </c:formatCode>
                <c:ptCount val="8"/>
                <c:pt idx="1">
                  <c:v>1621200</c:v>
                </c:pt>
                <c:pt idx="2">
                  <c:v>1740000</c:v>
                </c:pt>
                <c:pt idx="3">
                  <c:v>2886000</c:v>
                </c:pt>
                <c:pt idx="4">
                  <c:v>984000</c:v>
                </c:pt>
                <c:pt idx="5">
                  <c:v>1374000</c:v>
                </c:pt>
                <c:pt idx="6">
                  <c:v>3330000</c:v>
                </c:pt>
                <c:pt idx="7">
                  <c:v>4638000</c:v>
                </c:pt>
              </c:numCache>
            </c:numRef>
          </c:val>
          <c:smooth val="1"/>
          <c:extLst>
            <c:ext xmlns:c16="http://schemas.microsoft.com/office/drawing/2014/chart" uri="{C3380CC4-5D6E-409C-BE32-E72D297353CC}">
              <c16:uniqueId val="{00000005-E63E-44EC-9CE1-3DD8232A0CDD}"/>
            </c:ext>
          </c:extLst>
        </c:ser>
        <c:dLbls>
          <c:dLblPos val="t"/>
          <c:showLegendKey val="0"/>
          <c:showVal val="1"/>
          <c:showCatName val="0"/>
          <c:showSerName val="0"/>
          <c:showPercent val="0"/>
          <c:showBubbleSize val="0"/>
        </c:dLbls>
        <c:marker val="1"/>
        <c:smooth val="0"/>
        <c:axId val="874651151"/>
        <c:axId val="874651631"/>
      </c:lineChart>
      <c:catAx>
        <c:axId val="874651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Calibri" panose="020F0502020204030204" pitchFamily="34" charset="0"/>
                <a:ea typeface="+mn-ea"/>
                <a:cs typeface="+mn-cs"/>
              </a:defRPr>
            </a:pPr>
            <a:endParaRPr lang="en-US"/>
          </a:p>
        </c:txPr>
        <c:crossAx val="874651631"/>
        <c:crosses val="autoZero"/>
        <c:auto val="1"/>
        <c:lblAlgn val="ctr"/>
        <c:lblOffset val="100"/>
        <c:noMultiLvlLbl val="0"/>
      </c:catAx>
      <c:valAx>
        <c:axId val="874651631"/>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Calibri" panose="020F0502020204030204" pitchFamily="34" charset="0"/>
                <a:ea typeface="+mn-ea"/>
                <a:cs typeface="+mn-cs"/>
              </a:defRPr>
            </a:pPr>
            <a:endParaRPr lang="en-US"/>
          </a:p>
        </c:txPr>
        <c:crossAx val="874651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[investment_survey.xlsx]Pivot_Data!PivotTable32</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baseline="0">
                <a:solidFill>
                  <a:schemeClr val="tx1"/>
                </a:solidFill>
                <a:latin typeface="Calibri" panose="020F0502020204030204" pitchFamily="34" charset="0"/>
              </a:rPr>
              <a:t>Resource used to Invest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Calibri" panose="020F0502020204030204" pitchFamily="34" charset="0"/>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barChart>
        <c:barDir val="bar"/>
        <c:grouping val="clustered"/>
        <c:varyColors val="0"/>
        <c:ser>
          <c:idx val="0"/>
          <c:order val="0"/>
          <c:tx>
            <c:strRef>
              <c:f>Pivot_Data!$C$72</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1EED-48B1-9AB2-A5735E20DC60}"/>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1EED-48B1-9AB2-A5735E20DC60}"/>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1EED-48B1-9AB2-A5735E20DC60}"/>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1EED-48B1-9AB2-A5735E20DC60}"/>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1EED-48B1-9AB2-A5735E20DC60}"/>
              </c:ext>
            </c:extLst>
          </c:dPt>
          <c:dPt>
            <c:idx val="5"/>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B-1EED-48B1-9AB2-A5735E20DC60}"/>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Calibri" panose="020F0502020204030204" pitchFamily="34" charset="0"/>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Pivot_Data!$B$73:$B$79</c:f>
              <c:strCache>
                <c:ptCount val="6"/>
                <c:pt idx="0">
                  <c:v>Books</c:v>
                </c:pt>
                <c:pt idx="1">
                  <c:v>Brokers</c:v>
                </c:pt>
                <c:pt idx="2">
                  <c:v>Family members/Friends</c:v>
                </c:pt>
                <c:pt idx="3">
                  <c:v>Investors in bank</c:v>
                </c:pt>
                <c:pt idx="4">
                  <c:v>Mobile applications</c:v>
                </c:pt>
                <c:pt idx="5">
                  <c:v>News Article</c:v>
                </c:pt>
              </c:strCache>
            </c:strRef>
          </c:cat>
          <c:val>
            <c:numRef>
              <c:f>Pivot_Data!$C$73:$C$79</c:f>
              <c:numCache>
                <c:formatCode>_ * #,##0_ ;_ * \-#,##0_ ;_ * "-"??_ ;_ @_ </c:formatCode>
                <c:ptCount val="6"/>
                <c:pt idx="0">
                  <c:v>1747200</c:v>
                </c:pt>
                <c:pt idx="1">
                  <c:v>48000</c:v>
                </c:pt>
                <c:pt idx="2">
                  <c:v>11088000</c:v>
                </c:pt>
                <c:pt idx="3">
                  <c:v>900000</c:v>
                </c:pt>
                <c:pt idx="4">
                  <c:v>5376000</c:v>
                </c:pt>
                <c:pt idx="5">
                  <c:v>4872000</c:v>
                </c:pt>
              </c:numCache>
            </c:numRef>
          </c:val>
          <c:extLst>
            <c:ext xmlns:c16="http://schemas.microsoft.com/office/drawing/2014/chart" uri="{C3380CC4-5D6E-409C-BE32-E72D297353CC}">
              <c16:uniqueId val="{0000000C-1EED-48B1-9AB2-A5735E20DC60}"/>
            </c:ext>
          </c:extLst>
        </c:ser>
        <c:dLbls>
          <c:showLegendKey val="0"/>
          <c:showVal val="0"/>
          <c:showCatName val="0"/>
          <c:showSerName val="0"/>
          <c:showPercent val="0"/>
          <c:showBubbleSize val="0"/>
        </c:dLbls>
        <c:gapWidth val="100"/>
        <c:axId val="976535903"/>
        <c:axId val="976533983"/>
      </c:barChart>
      <c:valAx>
        <c:axId val="976533983"/>
        <c:scaling>
          <c:orientation val="minMax"/>
        </c:scaling>
        <c:delete val="1"/>
        <c:axPos val="b"/>
        <c:majorGridlines>
          <c:spPr>
            <a:ln w="9525" cap="flat" cmpd="sng" algn="ctr">
              <a:solidFill>
                <a:schemeClr val="tx1">
                  <a:lumMod val="15000"/>
                  <a:lumOff val="85000"/>
                </a:schemeClr>
              </a:solidFill>
              <a:round/>
            </a:ln>
            <a:effectLst/>
          </c:spPr>
        </c:majorGridlines>
        <c:numFmt formatCode="_ * #,##0_ ;_ * \-#,##0_ ;_ * &quot;-&quot;??_ ;_ @_ " sourceLinked="1"/>
        <c:majorTickMark val="out"/>
        <c:minorTickMark val="none"/>
        <c:tickLblPos val="nextTo"/>
        <c:crossAx val="976535903"/>
        <c:crossBetween val="between"/>
      </c:valAx>
      <c:catAx>
        <c:axId val="9765359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Calibri" panose="020F0502020204030204" pitchFamily="34" charset="0"/>
                <a:ea typeface="+mn-ea"/>
                <a:cs typeface="+mn-cs"/>
              </a:defRPr>
            </a:pPr>
            <a:endParaRPr lang="en-US"/>
          </a:p>
        </c:txPr>
        <c:crossAx val="976533983"/>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[investment_survey.xlsx]Pivot_Data!PivotTable39</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baseline="0">
                <a:solidFill>
                  <a:schemeClr val="tx1"/>
                </a:solidFill>
                <a:latin typeface="Calibri" panose="020F0502020204030204" pitchFamily="34" charset="0"/>
              </a:rPr>
              <a:t>Gender Wise Average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Calibri" panose="020F0502020204030204" pitchFamily="34" charset="0"/>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Pivot_Data!$C$140:$C$141</c:f>
              <c:strCache>
                <c:ptCount val="1"/>
                <c:pt idx="0">
                  <c:v>18-27</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Calibri" panose="020F0502020204030204" pitchFamily="34" charset="0"/>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Pivot_Data!$B$142:$B$144</c:f>
              <c:strCache>
                <c:ptCount val="2"/>
                <c:pt idx="0">
                  <c:v>Female</c:v>
                </c:pt>
                <c:pt idx="1">
                  <c:v>Male</c:v>
                </c:pt>
              </c:strCache>
            </c:strRef>
          </c:cat>
          <c:val>
            <c:numRef>
              <c:f>Pivot_Data!$C$142:$C$144</c:f>
              <c:numCache>
                <c:formatCode>_ * #,##0_ ;_ * \-#,##0_ ;_ * "-"??_ ;_ @_ </c:formatCode>
                <c:ptCount val="2"/>
                <c:pt idx="0">
                  <c:v>2167.8571428571427</c:v>
                </c:pt>
                <c:pt idx="1">
                  <c:v>3314.4897959183672</c:v>
                </c:pt>
              </c:numCache>
            </c:numRef>
          </c:val>
          <c:extLst>
            <c:ext xmlns:c16="http://schemas.microsoft.com/office/drawing/2014/chart" uri="{C3380CC4-5D6E-409C-BE32-E72D297353CC}">
              <c16:uniqueId val="{00000000-D149-495F-BB00-D2B741033A01}"/>
            </c:ext>
          </c:extLst>
        </c:ser>
        <c:ser>
          <c:idx val="1"/>
          <c:order val="1"/>
          <c:tx>
            <c:strRef>
              <c:f>Pivot_Data!$D$140:$D$141</c:f>
              <c:strCache>
                <c:ptCount val="1"/>
                <c:pt idx="0">
                  <c:v>28-37</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Calibri" panose="020F050202020403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Pivot_Data!$B$142:$B$144</c:f>
              <c:strCache>
                <c:ptCount val="2"/>
                <c:pt idx="0">
                  <c:v>Female</c:v>
                </c:pt>
                <c:pt idx="1">
                  <c:v>Male</c:v>
                </c:pt>
              </c:strCache>
            </c:strRef>
          </c:cat>
          <c:val>
            <c:numRef>
              <c:f>Pivot_Data!$D$142:$D$144</c:f>
              <c:numCache>
                <c:formatCode>_ * #,##0_ ;_ * \-#,##0_ ;_ * "-"??_ ;_ @_ </c:formatCode>
                <c:ptCount val="2"/>
                <c:pt idx="0">
                  <c:v>3000</c:v>
                </c:pt>
                <c:pt idx="1">
                  <c:v>3183.3333333333335</c:v>
                </c:pt>
              </c:numCache>
            </c:numRef>
          </c:val>
          <c:extLst>
            <c:ext xmlns:c16="http://schemas.microsoft.com/office/drawing/2014/chart" uri="{C3380CC4-5D6E-409C-BE32-E72D297353CC}">
              <c16:uniqueId val="{00000001-D149-495F-BB00-D2B741033A01}"/>
            </c:ext>
          </c:extLst>
        </c:ser>
        <c:ser>
          <c:idx val="2"/>
          <c:order val="2"/>
          <c:tx>
            <c:strRef>
              <c:f>Pivot_Data!$E$140:$E$141</c:f>
              <c:strCache>
                <c:ptCount val="1"/>
                <c:pt idx="0">
                  <c:v>38-47</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Calibri" panose="020F050202020403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Pivot_Data!$B$142:$B$144</c:f>
              <c:strCache>
                <c:ptCount val="2"/>
                <c:pt idx="0">
                  <c:v>Female</c:v>
                </c:pt>
                <c:pt idx="1">
                  <c:v>Male</c:v>
                </c:pt>
              </c:strCache>
            </c:strRef>
          </c:cat>
          <c:val>
            <c:numRef>
              <c:f>Pivot_Data!$E$142:$E$144</c:f>
              <c:numCache>
                <c:formatCode>_ * #,##0_ ;_ * \-#,##0_ ;_ * "-"??_ ;_ @_ </c:formatCode>
                <c:ptCount val="2"/>
                <c:pt idx="0">
                  <c:v>2000</c:v>
                </c:pt>
              </c:numCache>
            </c:numRef>
          </c:val>
          <c:extLst>
            <c:ext xmlns:c16="http://schemas.microsoft.com/office/drawing/2014/chart" uri="{C3380CC4-5D6E-409C-BE32-E72D297353CC}">
              <c16:uniqueId val="{00000007-D149-495F-BB00-D2B741033A01}"/>
            </c:ext>
          </c:extLst>
        </c:ser>
        <c:ser>
          <c:idx val="3"/>
          <c:order val="3"/>
          <c:tx>
            <c:strRef>
              <c:f>Pivot_Data!$F$140:$F$141</c:f>
              <c:strCache>
                <c:ptCount val="1"/>
                <c:pt idx="0">
                  <c:v>48-57</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Calibri" panose="020F050202020403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Pivot_Data!$B$142:$B$144</c:f>
              <c:strCache>
                <c:ptCount val="2"/>
                <c:pt idx="0">
                  <c:v>Female</c:v>
                </c:pt>
                <c:pt idx="1">
                  <c:v>Male</c:v>
                </c:pt>
              </c:strCache>
            </c:strRef>
          </c:cat>
          <c:val>
            <c:numRef>
              <c:f>Pivot_Data!$F$142:$F$144</c:f>
              <c:numCache>
                <c:formatCode>_ * #,##0_ ;_ * \-#,##0_ ;_ * "-"??_ ;_ @_ </c:formatCode>
                <c:ptCount val="2"/>
                <c:pt idx="1">
                  <c:v>1000</c:v>
                </c:pt>
              </c:numCache>
            </c:numRef>
          </c:val>
          <c:extLst>
            <c:ext xmlns:c16="http://schemas.microsoft.com/office/drawing/2014/chart" uri="{C3380CC4-5D6E-409C-BE32-E72D297353CC}">
              <c16:uniqueId val="{00000008-D149-495F-BB00-D2B741033A01}"/>
            </c:ext>
          </c:extLst>
        </c:ser>
        <c:dLbls>
          <c:showLegendKey val="0"/>
          <c:showVal val="1"/>
          <c:showCatName val="0"/>
          <c:showSerName val="0"/>
          <c:showPercent val="0"/>
          <c:showBubbleSize val="0"/>
        </c:dLbls>
        <c:gapWidth val="150"/>
        <c:overlap val="100"/>
        <c:axId val="874703343"/>
        <c:axId val="874699983"/>
      </c:barChart>
      <c:catAx>
        <c:axId val="874703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Calibri" panose="020F0502020204030204" pitchFamily="34" charset="0"/>
                <a:ea typeface="+mn-ea"/>
                <a:cs typeface="+mn-cs"/>
              </a:defRPr>
            </a:pPr>
            <a:endParaRPr lang="en-US"/>
          </a:p>
        </c:txPr>
        <c:crossAx val="874699983"/>
        <c:crosses val="autoZero"/>
        <c:auto val="1"/>
        <c:lblAlgn val="ctr"/>
        <c:lblOffset val="100"/>
        <c:noMultiLvlLbl val="0"/>
      </c:catAx>
      <c:valAx>
        <c:axId val="874699983"/>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8747033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Calibri" panose="020F050202020403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3.xml"/><Relationship Id="rId7" Type="http://schemas.openxmlformats.org/officeDocument/2006/relationships/image" Target="../media/image4.svg"/><Relationship Id="rId12" Type="http://schemas.openxmlformats.org/officeDocument/2006/relationships/hyperlink" Target="#Reason_Goal_Investment!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hyperlink" Target="#Investment_Type!A1"/><Relationship Id="rId5" Type="http://schemas.openxmlformats.org/officeDocument/2006/relationships/image" Target="../media/image2.svg"/><Relationship Id="rId10" Type="http://schemas.openxmlformats.org/officeDocument/2006/relationships/hyperlink" Target="#'User-Age_Metrics'!A1"/><Relationship Id="rId4" Type="http://schemas.openxmlformats.org/officeDocument/2006/relationships/image" Target="../media/image1.png"/><Relationship Id="rId9" Type="http://schemas.openxmlformats.org/officeDocument/2006/relationships/image" Target="../media/image6.svg"/></Relationships>
</file>

<file path=xl/drawings/_rels/drawing2.xml.rels><?xml version="1.0" encoding="UTF-8" standalone="yes"?>
<Relationships xmlns="http://schemas.openxmlformats.org/package/2006/relationships"><Relationship Id="rId8" Type="http://schemas.openxmlformats.org/officeDocument/2006/relationships/hyperlink" Target="#Investment_Type!A1"/><Relationship Id="rId3" Type="http://schemas.openxmlformats.org/officeDocument/2006/relationships/image" Target="../media/image3.png"/><Relationship Id="rId7" Type="http://schemas.openxmlformats.org/officeDocument/2006/relationships/hyperlink" Target="#'User-Age_Metrics'!A1"/><Relationship Id="rId12" Type="http://schemas.openxmlformats.org/officeDocument/2006/relationships/hyperlink" Target="#Reason_Goal_Investment!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6.xml"/><Relationship Id="rId5" Type="http://schemas.openxmlformats.org/officeDocument/2006/relationships/image" Target="../media/image5.png"/><Relationship Id="rId10" Type="http://schemas.openxmlformats.org/officeDocument/2006/relationships/chart" Target="../charts/chart5.xml"/><Relationship Id="rId4" Type="http://schemas.openxmlformats.org/officeDocument/2006/relationships/image" Target="../media/image4.svg"/><Relationship Id="rId9"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hyperlink" Target="#Investment_Type!A1"/><Relationship Id="rId3" Type="http://schemas.openxmlformats.org/officeDocument/2006/relationships/image" Target="../media/image3.png"/><Relationship Id="rId7" Type="http://schemas.openxmlformats.org/officeDocument/2006/relationships/hyperlink" Target="#'User-Age_Metrics'!A1"/><Relationship Id="rId12" Type="http://schemas.openxmlformats.org/officeDocument/2006/relationships/chart" Target="../charts/chart9.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8.xml"/><Relationship Id="rId5" Type="http://schemas.openxmlformats.org/officeDocument/2006/relationships/image" Target="../media/image5.png"/><Relationship Id="rId10" Type="http://schemas.openxmlformats.org/officeDocument/2006/relationships/chart" Target="../charts/chart7.xml"/><Relationship Id="rId4" Type="http://schemas.openxmlformats.org/officeDocument/2006/relationships/image" Target="../media/image4.svg"/><Relationship Id="rId9" Type="http://schemas.openxmlformats.org/officeDocument/2006/relationships/hyperlink" Target="#Reason_Goal_Investment!A1"/></Relationships>
</file>

<file path=xl/drawings/drawing1.xml><?xml version="1.0" encoding="utf-8"?>
<xdr:wsDr xmlns:xdr="http://schemas.openxmlformats.org/drawingml/2006/spreadsheetDrawing" xmlns:a="http://schemas.openxmlformats.org/drawingml/2006/main">
  <xdr:twoCellAnchor>
    <xdr:from>
      <xdr:col>2</xdr:col>
      <xdr:colOff>610806</xdr:colOff>
      <xdr:row>16</xdr:row>
      <xdr:rowOff>172352</xdr:rowOff>
    </xdr:from>
    <xdr:to>
      <xdr:col>6</xdr:col>
      <xdr:colOff>170546</xdr:colOff>
      <xdr:row>52</xdr:row>
      <xdr:rowOff>156741</xdr:rowOff>
    </xdr:to>
    <xdr:sp macro="" textlink="">
      <xdr:nvSpPr>
        <xdr:cNvPr id="2" name="Rectangle: Rounded Corners 1">
          <a:extLst>
            <a:ext uri="{FF2B5EF4-FFF2-40B4-BE49-F238E27FC236}">
              <a16:creationId xmlns:a16="http://schemas.microsoft.com/office/drawing/2014/main" id="{035A5934-2D4B-FE48-A0CE-AC5989FC7481}"/>
            </a:ext>
          </a:extLst>
        </xdr:cNvPr>
        <xdr:cNvSpPr/>
      </xdr:nvSpPr>
      <xdr:spPr>
        <a:xfrm>
          <a:off x="1900901" y="1257479"/>
          <a:ext cx="2139930" cy="6495148"/>
        </a:xfrm>
        <a:prstGeom prst="roundRect">
          <a:avLst>
            <a:gd name="adj" fmla="val 2088"/>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301624</xdr:colOff>
      <xdr:row>16</xdr:row>
      <xdr:rowOff>148848</xdr:rowOff>
    </xdr:from>
    <xdr:to>
      <xdr:col>22</xdr:col>
      <xdr:colOff>121227</xdr:colOff>
      <xdr:row>52</xdr:row>
      <xdr:rowOff>173949</xdr:rowOff>
    </xdr:to>
    <xdr:sp macro="" textlink="">
      <xdr:nvSpPr>
        <xdr:cNvPr id="3" name="Rectangle: Rounded Corners 2">
          <a:extLst>
            <a:ext uri="{FF2B5EF4-FFF2-40B4-BE49-F238E27FC236}">
              <a16:creationId xmlns:a16="http://schemas.microsoft.com/office/drawing/2014/main" id="{C7F21076-BE2E-6FF9-DF89-886BEF8798BF}"/>
            </a:ext>
          </a:extLst>
        </xdr:cNvPr>
        <xdr:cNvSpPr/>
      </xdr:nvSpPr>
      <xdr:spPr>
        <a:xfrm>
          <a:off x="4198215" y="3058303"/>
          <a:ext cx="10210512" cy="6571373"/>
        </a:xfrm>
        <a:prstGeom prst="roundRect">
          <a:avLst>
            <a:gd name="adj" fmla="val 790"/>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423541</xdr:colOff>
      <xdr:row>10</xdr:row>
      <xdr:rowOff>54428</xdr:rowOff>
    </xdr:from>
    <xdr:to>
      <xdr:col>9</xdr:col>
      <xdr:colOff>644523</xdr:colOff>
      <xdr:row>16</xdr:row>
      <xdr:rowOff>32294</xdr:rowOff>
    </xdr:to>
    <xdr:sp macro="" textlink="Pivot_Data!B8">
      <xdr:nvSpPr>
        <xdr:cNvPr id="4" name="Rectangle: Rounded Corners 3">
          <a:extLst>
            <a:ext uri="{FF2B5EF4-FFF2-40B4-BE49-F238E27FC236}">
              <a16:creationId xmlns:a16="http://schemas.microsoft.com/office/drawing/2014/main" id="{8D5F293E-EDAF-01C4-222D-779300D02F4F}"/>
            </a:ext>
          </a:extLst>
        </xdr:cNvPr>
        <xdr:cNvSpPr/>
      </xdr:nvSpPr>
      <xdr:spPr>
        <a:xfrm>
          <a:off x="4320132" y="1872837"/>
          <a:ext cx="2169278" cy="1068912"/>
        </a:xfrm>
        <a:prstGeom prst="roundRect">
          <a:avLst>
            <a:gd name="adj" fmla="val 5658"/>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505B2FC-CE03-4AB5-847F-65E7645D9DDB}" type="TxLink">
            <a:rPr lang="en-US" sz="1600" b="0" i="0" u="none" strike="noStrike">
              <a:solidFill>
                <a:srgbClr val="000000"/>
              </a:solidFill>
              <a:latin typeface="Calibri"/>
              <a:ea typeface="Calibri"/>
              <a:cs typeface="Calibri"/>
            </a:rPr>
            <a:pPr marL="0" indent="0" algn="ctr"/>
            <a:t> 2,40,31,200 </a:t>
          </a:fld>
          <a:endParaRPr lang="en-IN" sz="1600">
            <a:solidFill>
              <a:schemeClr val="lt1"/>
            </a:solidFill>
            <a:latin typeface="+mn-lt"/>
            <a:ea typeface="+mn-ea"/>
            <a:cs typeface="+mn-cs"/>
          </a:endParaRPr>
        </a:p>
      </xdr:txBody>
    </xdr:sp>
    <xdr:clientData/>
  </xdr:twoCellAnchor>
  <xdr:twoCellAnchor>
    <xdr:from>
      <xdr:col>11</xdr:col>
      <xdr:colOff>20288</xdr:colOff>
      <xdr:row>10</xdr:row>
      <xdr:rowOff>51122</xdr:rowOff>
    </xdr:from>
    <xdr:to>
      <xdr:col>14</xdr:col>
      <xdr:colOff>241271</xdr:colOff>
      <xdr:row>16</xdr:row>
      <xdr:rowOff>28943</xdr:rowOff>
    </xdr:to>
    <xdr:sp macro="" textlink="Pivot_Data!R14">
      <xdr:nvSpPr>
        <xdr:cNvPr id="5" name="Rectangle: Rounded Corners 4">
          <a:extLst>
            <a:ext uri="{FF2B5EF4-FFF2-40B4-BE49-F238E27FC236}">
              <a16:creationId xmlns:a16="http://schemas.microsoft.com/office/drawing/2014/main" id="{E40D57CC-585D-169E-91B2-988BB7347C4B}"/>
            </a:ext>
          </a:extLst>
        </xdr:cNvPr>
        <xdr:cNvSpPr/>
      </xdr:nvSpPr>
      <xdr:spPr>
        <a:xfrm>
          <a:off x="7130021" y="1888086"/>
          <a:ext cx="2160000" cy="1080000"/>
        </a:xfrm>
        <a:prstGeom prst="roundRect">
          <a:avLst>
            <a:gd name="adj" fmla="val 5658"/>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415B295A-DC56-4501-A3BF-7A20B4A55D83}" type="TxLink">
            <a:rPr lang="en-US" sz="1600" b="0" i="0" u="none" strike="noStrike">
              <a:solidFill>
                <a:srgbClr val="000000"/>
              </a:solidFill>
              <a:latin typeface="Calibri"/>
              <a:ea typeface="Calibri"/>
              <a:cs typeface="Calibri"/>
            </a:rPr>
            <a:pPr marL="0" indent="0" algn="ctr"/>
            <a:t> 2,892 </a:t>
          </a:fld>
          <a:endParaRPr lang="en-IN" sz="1600" b="0" i="0" u="none" strike="noStrike">
            <a:solidFill>
              <a:srgbClr val="000000"/>
            </a:solidFill>
            <a:latin typeface="Calibri"/>
            <a:ea typeface="Calibri"/>
            <a:cs typeface="Calibri"/>
          </a:endParaRPr>
        </a:p>
      </xdr:txBody>
    </xdr:sp>
    <xdr:clientData/>
  </xdr:twoCellAnchor>
  <xdr:twoCellAnchor>
    <xdr:from>
      <xdr:col>6</xdr:col>
      <xdr:colOff>518448</xdr:colOff>
      <xdr:row>17</xdr:row>
      <xdr:rowOff>68035</xdr:rowOff>
    </xdr:from>
    <xdr:to>
      <xdr:col>22</xdr:col>
      <xdr:colOff>69272</xdr:colOff>
      <xdr:row>21</xdr:row>
      <xdr:rowOff>68035</xdr:rowOff>
    </xdr:to>
    <xdr:sp macro="" textlink="">
      <xdr:nvSpPr>
        <xdr:cNvPr id="6" name="TextBox 5">
          <a:extLst>
            <a:ext uri="{FF2B5EF4-FFF2-40B4-BE49-F238E27FC236}">
              <a16:creationId xmlns:a16="http://schemas.microsoft.com/office/drawing/2014/main" id="{3DA13772-586A-B662-BF43-B4955C2FED1C}"/>
            </a:ext>
          </a:extLst>
        </xdr:cNvPr>
        <xdr:cNvSpPr txBox="1"/>
      </xdr:nvSpPr>
      <xdr:spPr>
        <a:xfrm>
          <a:off x="4415039" y="3159331"/>
          <a:ext cx="9941733" cy="7273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000" b="1" u="none" baseline="0">
              <a:solidFill>
                <a:schemeClr val="tx1"/>
              </a:solidFill>
              <a:uFill>
                <a:solidFill>
                  <a:schemeClr val="accent1"/>
                </a:solidFill>
              </a:uFill>
              <a:latin typeface="Calibri" panose="020F0502020204030204" pitchFamily="34" charset="0"/>
            </a:rPr>
            <a:t>Age and Gender Wise Metrics</a:t>
          </a:r>
        </a:p>
      </xdr:txBody>
    </xdr:sp>
    <xdr:clientData/>
  </xdr:twoCellAnchor>
  <xdr:twoCellAnchor>
    <xdr:from>
      <xdr:col>6</xdr:col>
      <xdr:colOff>572706</xdr:colOff>
      <xdr:row>21</xdr:row>
      <xdr:rowOff>8658</xdr:rowOff>
    </xdr:from>
    <xdr:to>
      <xdr:col>21</xdr:col>
      <xdr:colOff>536863</xdr:colOff>
      <xdr:row>21</xdr:row>
      <xdr:rowOff>30142</xdr:rowOff>
    </xdr:to>
    <xdr:cxnSp macro="">
      <xdr:nvCxnSpPr>
        <xdr:cNvPr id="8" name="Straight Connector 7">
          <a:extLst>
            <a:ext uri="{FF2B5EF4-FFF2-40B4-BE49-F238E27FC236}">
              <a16:creationId xmlns:a16="http://schemas.microsoft.com/office/drawing/2014/main" id="{8F472816-BC65-6B0B-E3D5-83FC749E423C}"/>
            </a:ext>
          </a:extLst>
        </xdr:cNvPr>
        <xdr:cNvCxnSpPr/>
      </xdr:nvCxnSpPr>
      <xdr:spPr>
        <a:xfrm flipV="1">
          <a:off x="4469297" y="3827318"/>
          <a:ext cx="9705635" cy="2148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566676</xdr:colOff>
      <xdr:row>21</xdr:row>
      <xdr:rowOff>180853</xdr:rowOff>
    </xdr:from>
    <xdr:to>
      <xdr:col>14</xdr:col>
      <xdr:colOff>476250</xdr:colOff>
      <xdr:row>38</xdr:row>
      <xdr:rowOff>102483</xdr:rowOff>
    </xdr:to>
    <xdr:graphicFrame macro="">
      <xdr:nvGraphicFramePr>
        <xdr:cNvPr id="10" name="Chart 9">
          <a:extLst>
            <a:ext uri="{FF2B5EF4-FFF2-40B4-BE49-F238E27FC236}">
              <a16:creationId xmlns:a16="http://schemas.microsoft.com/office/drawing/2014/main" id="{30B8D92E-1667-4D52-954B-93ED4AF170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51954</xdr:colOff>
      <xdr:row>21</xdr:row>
      <xdr:rowOff>174824</xdr:rowOff>
    </xdr:from>
    <xdr:to>
      <xdr:col>21</xdr:col>
      <xdr:colOff>519545</xdr:colOff>
      <xdr:row>38</xdr:row>
      <xdr:rowOff>90427</xdr:rowOff>
    </xdr:to>
    <xdr:graphicFrame macro="">
      <xdr:nvGraphicFramePr>
        <xdr:cNvPr id="11" name="Chart 10">
          <a:extLst>
            <a:ext uri="{FF2B5EF4-FFF2-40B4-BE49-F238E27FC236}">
              <a16:creationId xmlns:a16="http://schemas.microsoft.com/office/drawing/2014/main" id="{4FCED789-352A-43EA-9DA3-93B8EE568C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596818</xdr:colOff>
      <xdr:row>39</xdr:row>
      <xdr:rowOff>66314</xdr:rowOff>
    </xdr:from>
    <xdr:to>
      <xdr:col>21</xdr:col>
      <xdr:colOff>554181</xdr:colOff>
      <xdr:row>52</xdr:row>
      <xdr:rowOff>24114</xdr:rowOff>
    </xdr:to>
    <xdr:graphicFrame macro="">
      <xdr:nvGraphicFramePr>
        <xdr:cNvPr id="12" name="Chart 11">
          <a:extLst>
            <a:ext uri="{FF2B5EF4-FFF2-40B4-BE49-F238E27FC236}">
              <a16:creationId xmlns:a16="http://schemas.microsoft.com/office/drawing/2014/main" id="{32A0DED8-9C5B-4FB8-B5B9-41241DBC56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620933</xdr:colOff>
      <xdr:row>10</xdr:row>
      <xdr:rowOff>88447</xdr:rowOff>
    </xdr:from>
    <xdr:to>
      <xdr:col>6</xdr:col>
      <xdr:colOff>168797</xdr:colOff>
      <xdr:row>16</xdr:row>
      <xdr:rowOff>0</xdr:rowOff>
    </xdr:to>
    <xdr:sp macro="" textlink="">
      <xdr:nvSpPr>
        <xdr:cNvPr id="13" name="TextBox 12">
          <a:extLst>
            <a:ext uri="{FF2B5EF4-FFF2-40B4-BE49-F238E27FC236}">
              <a16:creationId xmlns:a16="http://schemas.microsoft.com/office/drawing/2014/main" id="{9FC8E935-CF94-D4D0-3699-C91DFD056F01}"/>
            </a:ext>
          </a:extLst>
        </xdr:cNvPr>
        <xdr:cNvSpPr txBox="1"/>
      </xdr:nvSpPr>
      <xdr:spPr>
        <a:xfrm>
          <a:off x="1913612" y="1925411"/>
          <a:ext cx="2133221" cy="10137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600" b="1" baseline="0">
              <a:solidFill>
                <a:schemeClr val="accent1"/>
              </a:solidFill>
              <a:latin typeface="Calibri" panose="020F0502020204030204" pitchFamily="34" charset="0"/>
            </a:rPr>
            <a:t>Investment Analysis</a:t>
          </a:r>
        </a:p>
      </xdr:txBody>
    </xdr:sp>
    <xdr:clientData/>
  </xdr:twoCellAnchor>
  <xdr:twoCellAnchor editAs="oneCell">
    <xdr:from>
      <xdr:col>6</xdr:col>
      <xdr:colOff>442233</xdr:colOff>
      <xdr:row>10</xdr:row>
      <xdr:rowOff>74841</xdr:rowOff>
    </xdr:from>
    <xdr:to>
      <xdr:col>7</xdr:col>
      <xdr:colOff>227893</xdr:colOff>
      <xdr:row>12</xdr:row>
      <xdr:rowOff>139448</xdr:rowOff>
    </xdr:to>
    <xdr:pic>
      <xdr:nvPicPr>
        <xdr:cNvPr id="9" name="Graphic 8" descr="Bar graph with upward trend">
          <a:extLst>
            <a:ext uri="{FF2B5EF4-FFF2-40B4-BE49-F238E27FC236}">
              <a16:creationId xmlns:a16="http://schemas.microsoft.com/office/drawing/2014/main" id="{AFAD7E56-6B41-8BD2-1696-38D838DDB19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320269" y="1911805"/>
          <a:ext cx="432000" cy="432000"/>
        </a:xfrm>
        <a:prstGeom prst="rect">
          <a:avLst/>
        </a:prstGeom>
      </xdr:spPr>
    </xdr:pic>
    <xdr:clientData/>
  </xdr:twoCellAnchor>
  <xdr:twoCellAnchor editAs="oneCell">
    <xdr:from>
      <xdr:col>11</xdr:col>
      <xdr:colOff>74838</xdr:colOff>
      <xdr:row>10</xdr:row>
      <xdr:rowOff>95250</xdr:rowOff>
    </xdr:from>
    <xdr:to>
      <xdr:col>11</xdr:col>
      <xdr:colOff>506838</xdr:colOff>
      <xdr:row>12</xdr:row>
      <xdr:rowOff>159857</xdr:rowOff>
    </xdr:to>
    <xdr:pic>
      <xdr:nvPicPr>
        <xdr:cNvPr id="16" name="Graphic 15" descr="Presentation with bar chart RTL">
          <a:extLst>
            <a:ext uri="{FF2B5EF4-FFF2-40B4-BE49-F238E27FC236}">
              <a16:creationId xmlns:a16="http://schemas.microsoft.com/office/drawing/2014/main" id="{E18F464B-ED40-D872-43F6-05F1077457F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184571" y="1932214"/>
          <a:ext cx="432000" cy="432000"/>
        </a:xfrm>
        <a:prstGeom prst="rect">
          <a:avLst/>
        </a:prstGeom>
      </xdr:spPr>
    </xdr:pic>
    <xdr:clientData/>
  </xdr:twoCellAnchor>
  <xdr:twoCellAnchor>
    <xdr:from>
      <xdr:col>7</xdr:col>
      <xdr:colOff>27214</xdr:colOff>
      <xdr:row>14</xdr:row>
      <xdr:rowOff>68036</xdr:rowOff>
    </xdr:from>
    <xdr:to>
      <xdr:col>9</xdr:col>
      <xdr:colOff>401411</xdr:colOff>
      <xdr:row>15</xdr:row>
      <xdr:rowOff>95249</xdr:rowOff>
    </xdr:to>
    <xdr:sp macro="" textlink="">
      <xdr:nvSpPr>
        <xdr:cNvPr id="17" name="TextBox 16">
          <a:extLst>
            <a:ext uri="{FF2B5EF4-FFF2-40B4-BE49-F238E27FC236}">
              <a16:creationId xmlns:a16="http://schemas.microsoft.com/office/drawing/2014/main" id="{9F177C3A-EDE1-54BB-7705-75AD18F88CA5}"/>
            </a:ext>
          </a:extLst>
        </xdr:cNvPr>
        <xdr:cNvSpPr txBox="1"/>
      </xdr:nvSpPr>
      <xdr:spPr>
        <a:xfrm>
          <a:off x="4551590" y="2639786"/>
          <a:ext cx="1666875" cy="210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latin typeface="Calibri" panose="020F0502020204030204" pitchFamily="34" charset="0"/>
            </a:rPr>
            <a:t>Total</a:t>
          </a:r>
          <a:r>
            <a:rPr lang="en-IN" sz="1600" b="1" baseline="0">
              <a:latin typeface="Calibri" panose="020F0502020204030204" pitchFamily="34" charset="0"/>
            </a:rPr>
            <a:t> Investment</a:t>
          </a:r>
          <a:endParaRPr lang="en-IN" sz="1600" b="1">
            <a:latin typeface="Calibri" panose="020F0502020204030204" pitchFamily="34" charset="0"/>
          </a:endParaRPr>
        </a:p>
      </xdr:txBody>
    </xdr:sp>
    <xdr:clientData/>
  </xdr:twoCellAnchor>
  <xdr:twoCellAnchor>
    <xdr:from>
      <xdr:col>10</xdr:col>
      <xdr:colOff>615043</xdr:colOff>
      <xdr:row>14</xdr:row>
      <xdr:rowOff>57150</xdr:rowOff>
    </xdr:from>
    <xdr:to>
      <xdr:col>14</xdr:col>
      <xdr:colOff>312963</xdr:colOff>
      <xdr:row>15</xdr:row>
      <xdr:rowOff>122464</xdr:rowOff>
    </xdr:to>
    <xdr:sp macro="" textlink="">
      <xdr:nvSpPr>
        <xdr:cNvPr id="18" name="TextBox 17">
          <a:extLst>
            <a:ext uri="{FF2B5EF4-FFF2-40B4-BE49-F238E27FC236}">
              <a16:creationId xmlns:a16="http://schemas.microsoft.com/office/drawing/2014/main" id="{E50BE60E-C633-336A-D700-E46AC68CD961}"/>
            </a:ext>
          </a:extLst>
        </xdr:cNvPr>
        <xdr:cNvSpPr txBox="1"/>
      </xdr:nvSpPr>
      <xdr:spPr>
        <a:xfrm>
          <a:off x="7078436" y="2628900"/>
          <a:ext cx="2283277" cy="249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latin typeface="Calibri" panose="020F0502020204030204" pitchFamily="34" charset="0"/>
            </a:rPr>
            <a:t>Avg Monthly Investment</a:t>
          </a:r>
        </a:p>
      </xdr:txBody>
    </xdr:sp>
    <xdr:clientData/>
  </xdr:twoCellAnchor>
  <xdr:twoCellAnchor>
    <xdr:from>
      <xdr:col>15</xdr:col>
      <xdr:colOff>233921</xdr:colOff>
      <xdr:row>10</xdr:row>
      <xdr:rowOff>40236</xdr:rowOff>
    </xdr:from>
    <xdr:to>
      <xdr:col>18</xdr:col>
      <xdr:colOff>454904</xdr:colOff>
      <xdr:row>16</xdr:row>
      <xdr:rowOff>18057</xdr:rowOff>
    </xdr:to>
    <xdr:sp macro="" textlink="Pivot_Data!N15">
      <xdr:nvSpPr>
        <xdr:cNvPr id="19" name="Rectangle: Rounded Corners 18">
          <a:extLst>
            <a:ext uri="{FF2B5EF4-FFF2-40B4-BE49-F238E27FC236}">
              <a16:creationId xmlns:a16="http://schemas.microsoft.com/office/drawing/2014/main" id="{7D370519-56BA-D432-9744-F07AC5E8E74E}"/>
            </a:ext>
          </a:extLst>
        </xdr:cNvPr>
        <xdr:cNvSpPr/>
      </xdr:nvSpPr>
      <xdr:spPr>
        <a:xfrm>
          <a:off x="9929011" y="1877200"/>
          <a:ext cx="2160000" cy="1080000"/>
        </a:xfrm>
        <a:prstGeom prst="roundRect">
          <a:avLst>
            <a:gd name="adj" fmla="val 5658"/>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78B60E0D-C81B-4DCA-898C-167F04D2209E}" type="TxLink">
            <a:rPr lang="en-US" sz="1600" b="0" i="0" u="none" strike="noStrike">
              <a:solidFill>
                <a:srgbClr val="000000"/>
              </a:solidFill>
              <a:latin typeface="Calibri"/>
              <a:ea typeface="Calibri"/>
              <a:cs typeface="Calibri"/>
            </a:rPr>
            <a:pPr marL="0" indent="0" algn="ctr"/>
            <a:t>8</a:t>
          </a:fld>
          <a:endParaRPr lang="en-US" sz="1600" b="0" i="0" u="none" strike="noStrike">
            <a:solidFill>
              <a:srgbClr val="000000"/>
            </a:solidFill>
            <a:latin typeface="Calibri"/>
            <a:ea typeface="Calibri"/>
            <a:cs typeface="Calibri"/>
          </a:endParaRPr>
        </a:p>
      </xdr:txBody>
    </xdr:sp>
    <xdr:clientData/>
  </xdr:twoCellAnchor>
  <xdr:twoCellAnchor editAs="oneCell">
    <xdr:from>
      <xdr:col>15</xdr:col>
      <xdr:colOff>299357</xdr:colOff>
      <xdr:row>10</xdr:row>
      <xdr:rowOff>47626</xdr:rowOff>
    </xdr:from>
    <xdr:to>
      <xdr:col>16</xdr:col>
      <xdr:colOff>85018</xdr:colOff>
      <xdr:row>12</xdr:row>
      <xdr:rowOff>112233</xdr:rowOff>
    </xdr:to>
    <xdr:pic>
      <xdr:nvPicPr>
        <xdr:cNvPr id="21" name="Graphic 20" descr="Gauge">
          <a:extLst>
            <a:ext uri="{FF2B5EF4-FFF2-40B4-BE49-F238E27FC236}">
              <a16:creationId xmlns:a16="http://schemas.microsoft.com/office/drawing/2014/main" id="{561409DD-2460-126F-2219-7A42AD6041B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994447" y="1884590"/>
          <a:ext cx="432000" cy="432000"/>
        </a:xfrm>
        <a:prstGeom prst="rect">
          <a:avLst/>
        </a:prstGeom>
      </xdr:spPr>
    </xdr:pic>
    <xdr:clientData/>
  </xdr:twoCellAnchor>
  <xdr:twoCellAnchor>
    <xdr:from>
      <xdr:col>15</xdr:col>
      <xdr:colOff>186417</xdr:colOff>
      <xdr:row>14</xdr:row>
      <xdr:rowOff>16328</xdr:rowOff>
    </xdr:from>
    <xdr:to>
      <xdr:col>18</xdr:col>
      <xdr:colOff>483054</xdr:colOff>
      <xdr:row>15</xdr:row>
      <xdr:rowOff>61230</xdr:rowOff>
    </xdr:to>
    <xdr:sp macro="" textlink="">
      <xdr:nvSpPr>
        <xdr:cNvPr id="22" name="TextBox 21">
          <a:extLst>
            <a:ext uri="{FF2B5EF4-FFF2-40B4-BE49-F238E27FC236}">
              <a16:creationId xmlns:a16="http://schemas.microsoft.com/office/drawing/2014/main" id="{A5FFB549-7B81-FE7A-68CE-B6F52403C171}"/>
            </a:ext>
          </a:extLst>
        </xdr:cNvPr>
        <xdr:cNvSpPr txBox="1"/>
      </xdr:nvSpPr>
      <xdr:spPr>
        <a:xfrm>
          <a:off x="9881507" y="2588078"/>
          <a:ext cx="2235654" cy="228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latin typeface="Calibri" panose="020F0502020204030204" pitchFamily="34" charset="0"/>
            </a:rPr>
            <a:t>Average year to Invest</a:t>
          </a:r>
        </a:p>
      </xdr:txBody>
    </xdr:sp>
    <xdr:clientData/>
  </xdr:twoCellAnchor>
  <xdr:twoCellAnchor editAs="oneCell">
    <xdr:from>
      <xdr:col>18</xdr:col>
      <xdr:colOff>516452</xdr:colOff>
      <xdr:row>17</xdr:row>
      <xdr:rowOff>61415</xdr:rowOff>
    </xdr:from>
    <xdr:to>
      <xdr:col>21</xdr:col>
      <xdr:colOff>496042</xdr:colOff>
      <xdr:row>20</xdr:row>
      <xdr:rowOff>127412</xdr:rowOff>
    </xdr:to>
    <mc:AlternateContent xmlns:mc="http://schemas.openxmlformats.org/markup-compatibility/2006">
      <mc:Choice xmlns:a14="http://schemas.microsoft.com/office/drawing/2010/main" Requires="a14">
        <xdr:graphicFrame macro="">
          <xdr:nvGraphicFramePr>
            <xdr:cNvPr id="23" name="Gender">
              <a:extLst>
                <a:ext uri="{FF2B5EF4-FFF2-40B4-BE49-F238E27FC236}">
                  <a16:creationId xmlns:a16="http://schemas.microsoft.com/office/drawing/2014/main" id="{80F7185F-22B3-4DA5-A7BB-5F597FF54EC5}"/>
                </a:ext>
                <a:ext uri="{C183D7F6-B498-43B3-948B-1728B52AA6E4}">
                  <adec:decorative xmlns:adec="http://schemas.microsoft.com/office/drawing/2017/decorative" val="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2089327" y="3097510"/>
              <a:ext cx="1908403" cy="6017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136070</xdr:colOff>
      <xdr:row>18</xdr:row>
      <xdr:rowOff>149679</xdr:rowOff>
    </xdr:from>
    <xdr:to>
      <xdr:col>5</xdr:col>
      <xdr:colOff>625928</xdr:colOff>
      <xdr:row>22</xdr:row>
      <xdr:rowOff>20412</xdr:rowOff>
    </xdr:to>
    <xdr:sp macro="" textlink="">
      <xdr:nvSpPr>
        <xdr:cNvPr id="24" name="TextBox 23">
          <a:hlinkClick xmlns:r="http://schemas.openxmlformats.org/officeDocument/2006/relationships" r:id="rId10"/>
          <a:extLst>
            <a:ext uri="{FF2B5EF4-FFF2-40B4-BE49-F238E27FC236}">
              <a16:creationId xmlns:a16="http://schemas.microsoft.com/office/drawing/2014/main" id="{09E31C25-86F7-397E-38B0-22D418E971EA}"/>
            </a:ext>
          </a:extLst>
        </xdr:cNvPr>
        <xdr:cNvSpPr txBox="1"/>
      </xdr:nvSpPr>
      <xdr:spPr>
        <a:xfrm>
          <a:off x="2075089" y="3456215"/>
          <a:ext cx="1782536" cy="605518"/>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IN" sz="1600" b="1" u="sng" baseline="0">
              <a:solidFill>
                <a:schemeClr val="accent1"/>
              </a:solidFill>
              <a:latin typeface="Calibri" panose="020F0502020204030204" pitchFamily="34" charset="0"/>
            </a:rPr>
            <a:t>User metrics</a:t>
          </a:r>
        </a:p>
      </xdr:txBody>
    </xdr:sp>
    <xdr:clientData/>
  </xdr:twoCellAnchor>
  <xdr:twoCellAnchor>
    <xdr:from>
      <xdr:col>3</xdr:col>
      <xdr:colOff>159202</xdr:colOff>
      <xdr:row>23</xdr:row>
      <xdr:rowOff>50346</xdr:rowOff>
    </xdr:from>
    <xdr:to>
      <xdr:col>6</xdr:col>
      <xdr:colOff>2721</xdr:colOff>
      <xdr:row>26</xdr:row>
      <xdr:rowOff>104776</xdr:rowOff>
    </xdr:to>
    <xdr:sp macro="" textlink="">
      <xdr:nvSpPr>
        <xdr:cNvPr id="25" name="TextBox 24">
          <a:hlinkClick xmlns:r="http://schemas.openxmlformats.org/officeDocument/2006/relationships" r:id="rId11"/>
          <a:extLst>
            <a:ext uri="{FF2B5EF4-FFF2-40B4-BE49-F238E27FC236}">
              <a16:creationId xmlns:a16="http://schemas.microsoft.com/office/drawing/2014/main" id="{CAD7898D-AA88-2B3E-B874-1E924C670134}"/>
            </a:ext>
          </a:extLst>
        </xdr:cNvPr>
        <xdr:cNvSpPr txBox="1"/>
      </xdr:nvSpPr>
      <xdr:spPr>
        <a:xfrm>
          <a:off x="2107498" y="4232688"/>
          <a:ext cx="1791814" cy="599952"/>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IN" sz="1600" b="1" u="sng" baseline="0">
              <a:solidFill>
                <a:schemeClr val="accent1"/>
              </a:solidFill>
              <a:latin typeface="Calibri" panose="020F0502020204030204" pitchFamily="34" charset="0"/>
            </a:rPr>
            <a:t>Investment &amp; Income Metrics</a:t>
          </a:r>
        </a:p>
      </xdr:txBody>
    </xdr:sp>
    <xdr:clientData/>
  </xdr:twoCellAnchor>
  <xdr:twoCellAnchor>
    <xdr:from>
      <xdr:col>3</xdr:col>
      <xdr:colOff>164398</xdr:colOff>
      <xdr:row>27</xdr:row>
      <xdr:rowOff>150792</xdr:rowOff>
    </xdr:from>
    <xdr:to>
      <xdr:col>6</xdr:col>
      <xdr:colOff>7917</xdr:colOff>
      <xdr:row>31</xdr:row>
      <xdr:rowOff>23380</xdr:rowOff>
    </xdr:to>
    <xdr:sp macro="" textlink="">
      <xdr:nvSpPr>
        <xdr:cNvPr id="15" name="TextBox 14">
          <a:hlinkClick xmlns:r="http://schemas.openxmlformats.org/officeDocument/2006/relationships" r:id="rId12"/>
          <a:extLst>
            <a:ext uri="{FF2B5EF4-FFF2-40B4-BE49-F238E27FC236}">
              <a16:creationId xmlns:a16="http://schemas.microsoft.com/office/drawing/2014/main" id="{B23E8744-AC3B-EB45-3EE9-B79C6BD4E4A9}"/>
            </a:ext>
          </a:extLst>
        </xdr:cNvPr>
        <xdr:cNvSpPr txBox="1"/>
      </xdr:nvSpPr>
      <xdr:spPr>
        <a:xfrm>
          <a:off x="2112694" y="5060497"/>
          <a:ext cx="1791814" cy="599952"/>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IN" sz="1600" b="1" u="sng" baseline="0">
              <a:solidFill>
                <a:schemeClr val="accent1"/>
              </a:solidFill>
              <a:latin typeface="Calibri" panose="020F0502020204030204" pitchFamily="34" charset="0"/>
            </a:rPr>
            <a:t>Goal Metrics</a:t>
          </a:r>
        </a:p>
      </xdr:txBody>
    </xdr:sp>
    <xdr:clientData/>
  </xdr:twoCellAnchor>
  <xdr:twoCellAnchor editAs="oneCell">
    <xdr:from>
      <xdr:col>15</xdr:col>
      <xdr:colOff>470066</xdr:colOff>
      <xdr:row>17</xdr:row>
      <xdr:rowOff>51955</xdr:rowOff>
    </xdr:from>
    <xdr:to>
      <xdr:col>18</xdr:col>
      <xdr:colOff>350571</xdr:colOff>
      <xdr:row>20</xdr:row>
      <xdr:rowOff>138546</xdr:rowOff>
    </xdr:to>
    <mc:AlternateContent xmlns:mc="http://schemas.openxmlformats.org/markup-compatibility/2006">
      <mc:Choice xmlns:a14="http://schemas.microsoft.com/office/drawing/2010/main" Requires="a14">
        <xdr:graphicFrame macro="">
          <xdr:nvGraphicFramePr>
            <xdr:cNvPr id="26" name="Working professional">
              <a:extLst>
                <a:ext uri="{FF2B5EF4-FFF2-40B4-BE49-F238E27FC236}">
                  <a16:creationId xmlns:a16="http://schemas.microsoft.com/office/drawing/2014/main" id="{FC926095-A9FB-4FC7-B2FD-467E2F02BEE6}"/>
                </a:ext>
              </a:extLst>
            </xdr:cNvPr>
            <xdr:cNvGraphicFramePr/>
          </xdr:nvGraphicFramePr>
          <xdr:xfrm>
            <a:off x="0" y="0"/>
            <a:ext cx="0" cy="0"/>
          </xdr:xfrm>
          <a:graphic>
            <a:graphicData uri="http://schemas.microsoft.com/office/drawing/2010/slicer">
              <sle:slicer xmlns:sle="http://schemas.microsoft.com/office/drawing/2010/slicer" name="Working professional"/>
            </a:graphicData>
          </a:graphic>
        </xdr:graphicFrame>
      </mc:Choice>
      <mc:Fallback>
        <xdr:sp macro="" textlink="">
          <xdr:nvSpPr>
            <xdr:cNvPr id="0" name=""/>
            <xdr:cNvSpPr>
              <a:spLocks noTextEdit="1"/>
            </xdr:cNvSpPr>
          </xdr:nvSpPr>
          <xdr:spPr>
            <a:xfrm>
              <a:off x="10114129" y="3088050"/>
              <a:ext cx="1809317" cy="6223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610806</xdr:colOff>
      <xdr:row>16</xdr:row>
      <xdr:rowOff>172352</xdr:rowOff>
    </xdr:from>
    <xdr:to>
      <xdr:col>6</xdr:col>
      <xdr:colOff>170546</xdr:colOff>
      <xdr:row>52</xdr:row>
      <xdr:rowOff>156741</xdr:rowOff>
    </xdr:to>
    <xdr:sp macro="" textlink="">
      <xdr:nvSpPr>
        <xdr:cNvPr id="2" name="Rectangle: Rounded Corners 1">
          <a:extLst>
            <a:ext uri="{FF2B5EF4-FFF2-40B4-BE49-F238E27FC236}">
              <a16:creationId xmlns:a16="http://schemas.microsoft.com/office/drawing/2014/main" id="{C34DB0E0-B1C4-400C-9EA0-7F1729E0D469}"/>
            </a:ext>
          </a:extLst>
        </xdr:cNvPr>
        <xdr:cNvSpPr/>
      </xdr:nvSpPr>
      <xdr:spPr>
        <a:xfrm>
          <a:off x="1906206" y="3067952"/>
          <a:ext cx="2150540" cy="6499489"/>
        </a:xfrm>
        <a:prstGeom prst="roundRect">
          <a:avLst>
            <a:gd name="adj" fmla="val 2088"/>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310283</xdr:colOff>
      <xdr:row>16</xdr:row>
      <xdr:rowOff>181839</xdr:rowOff>
    </xdr:from>
    <xdr:to>
      <xdr:col>22</xdr:col>
      <xdr:colOff>0</xdr:colOff>
      <xdr:row>52</xdr:row>
      <xdr:rowOff>164522</xdr:rowOff>
    </xdr:to>
    <xdr:sp macro="" textlink="">
      <xdr:nvSpPr>
        <xdr:cNvPr id="3" name="Rectangle: Rounded Corners 2">
          <a:extLst>
            <a:ext uri="{FF2B5EF4-FFF2-40B4-BE49-F238E27FC236}">
              <a16:creationId xmlns:a16="http://schemas.microsoft.com/office/drawing/2014/main" id="{8B3CAAB2-3505-48AD-AB43-D1991691EA22}"/>
            </a:ext>
          </a:extLst>
        </xdr:cNvPr>
        <xdr:cNvSpPr/>
      </xdr:nvSpPr>
      <xdr:spPr>
        <a:xfrm>
          <a:off x="4206874" y="3091294"/>
          <a:ext cx="10080626" cy="6528955"/>
        </a:xfrm>
        <a:prstGeom prst="roundRect">
          <a:avLst>
            <a:gd name="adj" fmla="val 790"/>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423541</xdr:colOff>
      <xdr:row>10</xdr:row>
      <xdr:rowOff>54428</xdr:rowOff>
    </xdr:from>
    <xdr:to>
      <xdr:col>9</xdr:col>
      <xdr:colOff>644523</xdr:colOff>
      <xdr:row>16</xdr:row>
      <xdr:rowOff>32294</xdr:rowOff>
    </xdr:to>
    <xdr:sp macro="" textlink="Pivot_Data!B8">
      <xdr:nvSpPr>
        <xdr:cNvPr id="4" name="Rectangle: Rounded Corners 3">
          <a:extLst>
            <a:ext uri="{FF2B5EF4-FFF2-40B4-BE49-F238E27FC236}">
              <a16:creationId xmlns:a16="http://schemas.microsoft.com/office/drawing/2014/main" id="{276A9A07-928C-4CA3-BC1E-4BB712A99326}"/>
            </a:ext>
          </a:extLst>
        </xdr:cNvPr>
        <xdr:cNvSpPr/>
      </xdr:nvSpPr>
      <xdr:spPr>
        <a:xfrm>
          <a:off x="4309741" y="1864178"/>
          <a:ext cx="2164082" cy="1063716"/>
        </a:xfrm>
        <a:prstGeom prst="roundRect">
          <a:avLst>
            <a:gd name="adj" fmla="val 5658"/>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505B2FC-CE03-4AB5-847F-65E7645D9DDB}" type="TxLink">
            <a:rPr lang="en-US" sz="1600" b="0" i="0" u="none" strike="noStrike">
              <a:solidFill>
                <a:srgbClr val="000000"/>
              </a:solidFill>
              <a:latin typeface="Calibri"/>
              <a:ea typeface="Calibri"/>
              <a:cs typeface="Calibri"/>
            </a:rPr>
            <a:pPr marL="0" indent="0" algn="ctr"/>
            <a:t> 2,40,31,200 </a:t>
          </a:fld>
          <a:endParaRPr lang="en-IN" sz="1600">
            <a:solidFill>
              <a:schemeClr val="lt1"/>
            </a:solidFill>
            <a:latin typeface="+mn-lt"/>
            <a:ea typeface="+mn-ea"/>
            <a:cs typeface="+mn-cs"/>
          </a:endParaRPr>
        </a:p>
      </xdr:txBody>
    </xdr:sp>
    <xdr:clientData/>
  </xdr:twoCellAnchor>
  <xdr:twoCellAnchor>
    <xdr:from>
      <xdr:col>11</xdr:col>
      <xdr:colOff>20288</xdr:colOff>
      <xdr:row>10</xdr:row>
      <xdr:rowOff>51122</xdr:rowOff>
    </xdr:from>
    <xdr:to>
      <xdr:col>14</xdr:col>
      <xdr:colOff>241271</xdr:colOff>
      <xdr:row>16</xdr:row>
      <xdr:rowOff>28943</xdr:rowOff>
    </xdr:to>
    <xdr:sp macro="" textlink="Pivot_Data!R14">
      <xdr:nvSpPr>
        <xdr:cNvPr id="5" name="Rectangle: Rounded Corners 4">
          <a:extLst>
            <a:ext uri="{FF2B5EF4-FFF2-40B4-BE49-F238E27FC236}">
              <a16:creationId xmlns:a16="http://schemas.microsoft.com/office/drawing/2014/main" id="{B4808DB7-A600-412A-B570-922BA6B2E1A7}"/>
            </a:ext>
          </a:extLst>
        </xdr:cNvPr>
        <xdr:cNvSpPr/>
      </xdr:nvSpPr>
      <xdr:spPr>
        <a:xfrm>
          <a:off x="7144988" y="1860872"/>
          <a:ext cx="2164083" cy="1063671"/>
        </a:xfrm>
        <a:prstGeom prst="roundRect">
          <a:avLst>
            <a:gd name="adj" fmla="val 5658"/>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415B295A-DC56-4501-A3BF-7A20B4A55D83}" type="TxLink">
            <a:rPr lang="en-US" sz="1600" b="0" i="0" u="none" strike="noStrike">
              <a:solidFill>
                <a:srgbClr val="000000"/>
              </a:solidFill>
              <a:latin typeface="Calibri"/>
              <a:ea typeface="Calibri"/>
              <a:cs typeface="Calibri"/>
            </a:rPr>
            <a:pPr marL="0" indent="0" algn="ctr"/>
            <a:t> 2,892 </a:t>
          </a:fld>
          <a:endParaRPr lang="en-IN" sz="1600" b="0" i="0" u="none" strike="noStrike">
            <a:solidFill>
              <a:srgbClr val="000000"/>
            </a:solidFill>
            <a:latin typeface="Calibri"/>
            <a:ea typeface="Calibri"/>
            <a:cs typeface="Calibri"/>
          </a:endParaRPr>
        </a:p>
      </xdr:txBody>
    </xdr:sp>
    <xdr:clientData/>
  </xdr:twoCellAnchor>
  <xdr:twoCellAnchor>
    <xdr:from>
      <xdr:col>6</xdr:col>
      <xdr:colOff>518449</xdr:colOff>
      <xdr:row>17</xdr:row>
      <xdr:rowOff>6803</xdr:rowOff>
    </xdr:from>
    <xdr:to>
      <xdr:col>21</xdr:col>
      <xdr:colOff>458931</xdr:colOff>
      <xdr:row>21</xdr:row>
      <xdr:rowOff>54428</xdr:rowOff>
    </xdr:to>
    <xdr:sp macro="" textlink="">
      <xdr:nvSpPr>
        <xdr:cNvPr id="6" name="TextBox 5">
          <a:extLst>
            <a:ext uri="{FF2B5EF4-FFF2-40B4-BE49-F238E27FC236}">
              <a16:creationId xmlns:a16="http://schemas.microsoft.com/office/drawing/2014/main" id="{A36AF5AB-135A-45B3-8C89-1F6BE5B09DA1}"/>
            </a:ext>
          </a:extLst>
        </xdr:cNvPr>
        <xdr:cNvSpPr txBox="1"/>
      </xdr:nvSpPr>
      <xdr:spPr>
        <a:xfrm>
          <a:off x="4415040" y="3098099"/>
          <a:ext cx="9681960" cy="7749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000" b="1" u="none" baseline="0">
              <a:solidFill>
                <a:schemeClr val="tx1"/>
              </a:solidFill>
              <a:uFill>
                <a:solidFill>
                  <a:schemeClr val="accent1"/>
                </a:solidFill>
              </a:uFill>
              <a:latin typeface="Calibri" panose="020F0502020204030204" pitchFamily="34" charset="0"/>
            </a:rPr>
            <a:t>Investment and Income metrics</a:t>
          </a:r>
        </a:p>
      </xdr:txBody>
    </xdr:sp>
    <xdr:clientData/>
  </xdr:twoCellAnchor>
  <xdr:twoCellAnchor>
    <xdr:from>
      <xdr:col>6</xdr:col>
      <xdr:colOff>572706</xdr:colOff>
      <xdr:row>21</xdr:row>
      <xdr:rowOff>25976</xdr:rowOff>
    </xdr:from>
    <xdr:to>
      <xdr:col>21</xdr:col>
      <xdr:colOff>432954</xdr:colOff>
      <xdr:row>21</xdr:row>
      <xdr:rowOff>30142</xdr:rowOff>
    </xdr:to>
    <xdr:cxnSp macro="">
      <xdr:nvCxnSpPr>
        <xdr:cNvPr id="7" name="Straight Connector 6">
          <a:extLst>
            <a:ext uri="{FF2B5EF4-FFF2-40B4-BE49-F238E27FC236}">
              <a16:creationId xmlns:a16="http://schemas.microsoft.com/office/drawing/2014/main" id="{05181A76-D506-4F2A-8DDA-21A48BE42C92}"/>
            </a:ext>
          </a:extLst>
        </xdr:cNvPr>
        <xdr:cNvCxnSpPr/>
      </xdr:nvCxnSpPr>
      <xdr:spPr>
        <a:xfrm flipV="1">
          <a:off x="4469297" y="3844636"/>
          <a:ext cx="9601726" cy="416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620933</xdr:colOff>
      <xdr:row>10</xdr:row>
      <xdr:rowOff>88447</xdr:rowOff>
    </xdr:from>
    <xdr:to>
      <xdr:col>6</xdr:col>
      <xdr:colOff>168797</xdr:colOff>
      <xdr:row>16</xdr:row>
      <xdr:rowOff>0</xdr:rowOff>
    </xdr:to>
    <xdr:sp macro="" textlink="">
      <xdr:nvSpPr>
        <xdr:cNvPr id="11" name="TextBox 10">
          <a:extLst>
            <a:ext uri="{FF2B5EF4-FFF2-40B4-BE49-F238E27FC236}">
              <a16:creationId xmlns:a16="http://schemas.microsoft.com/office/drawing/2014/main" id="{9FE417AA-5872-4386-A561-B28E67AA8EF5}"/>
            </a:ext>
          </a:extLst>
        </xdr:cNvPr>
        <xdr:cNvSpPr txBox="1"/>
      </xdr:nvSpPr>
      <xdr:spPr>
        <a:xfrm>
          <a:off x="1916333" y="1898197"/>
          <a:ext cx="2138664" cy="9974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600" b="1" baseline="0">
              <a:solidFill>
                <a:schemeClr val="accent1"/>
              </a:solidFill>
              <a:latin typeface="Calibri" panose="020F0502020204030204" pitchFamily="34" charset="0"/>
            </a:rPr>
            <a:t>Investment Analysis</a:t>
          </a:r>
        </a:p>
      </xdr:txBody>
    </xdr:sp>
    <xdr:clientData/>
  </xdr:twoCellAnchor>
  <xdr:twoCellAnchor editAs="oneCell">
    <xdr:from>
      <xdr:col>6</xdr:col>
      <xdr:colOff>442233</xdr:colOff>
      <xdr:row>10</xdr:row>
      <xdr:rowOff>74841</xdr:rowOff>
    </xdr:from>
    <xdr:to>
      <xdr:col>7</xdr:col>
      <xdr:colOff>227893</xdr:colOff>
      <xdr:row>12</xdr:row>
      <xdr:rowOff>139448</xdr:rowOff>
    </xdr:to>
    <xdr:pic>
      <xdr:nvPicPr>
        <xdr:cNvPr id="12" name="Graphic 11" descr="Bar graph with upward trend">
          <a:extLst>
            <a:ext uri="{FF2B5EF4-FFF2-40B4-BE49-F238E27FC236}">
              <a16:creationId xmlns:a16="http://schemas.microsoft.com/office/drawing/2014/main" id="{91B17672-2C57-43EA-B023-FE238ED80B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328433" y="1884591"/>
          <a:ext cx="433360" cy="426557"/>
        </a:xfrm>
        <a:prstGeom prst="rect">
          <a:avLst/>
        </a:prstGeom>
      </xdr:spPr>
    </xdr:pic>
    <xdr:clientData/>
  </xdr:twoCellAnchor>
  <xdr:twoCellAnchor editAs="oneCell">
    <xdr:from>
      <xdr:col>11</xdr:col>
      <xdr:colOff>74838</xdr:colOff>
      <xdr:row>10</xdr:row>
      <xdr:rowOff>95250</xdr:rowOff>
    </xdr:from>
    <xdr:to>
      <xdr:col>11</xdr:col>
      <xdr:colOff>506838</xdr:colOff>
      <xdr:row>12</xdr:row>
      <xdr:rowOff>159857</xdr:rowOff>
    </xdr:to>
    <xdr:pic>
      <xdr:nvPicPr>
        <xdr:cNvPr id="13" name="Graphic 12" descr="Presentation with bar chart RTL">
          <a:extLst>
            <a:ext uri="{FF2B5EF4-FFF2-40B4-BE49-F238E27FC236}">
              <a16:creationId xmlns:a16="http://schemas.microsoft.com/office/drawing/2014/main" id="{3388A660-DFC6-49CB-A92C-6BE78380487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199538" y="1905000"/>
          <a:ext cx="432000" cy="426557"/>
        </a:xfrm>
        <a:prstGeom prst="rect">
          <a:avLst/>
        </a:prstGeom>
      </xdr:spPr>
    </xdr:pic>
    <xdr:clientData/>
  </xdr:twoCellAnchor>
  <xdr:twoCellAnchor>
    <xdr:from>
      <xdr:col>7</xdr:col>
      <xdr:colOff>27214</xdr:colOff>
      <xdr:row>14</xdr:row>
      <xdr:rowOff>68036</xdr:rowOff>
    </xdr:from>
    <xdr:to>
      <xdr:col>9</xdr:col>
      <xdr:colOff>401411</xdr:colOff>
      <xdr:row>15</xdr:row>
      <xdr:rowOff>95249</xdr:rowOff>
    </xdr:to>
    <xdr:sp macro="" textlink="">
      <xdr:nvSpPr>
        <xdr:cNvPr id="14" name="TextBox 13">
          <a:extLst>
            <a:ext uri="{FF2B5EF4-FFF2-40B4-BE49-F238E27FC236}">
              <a16:creationId xmlns:a16="http://schemas.microsoft.com/office/drawing/2014/main" id="{F3BF241D-2A87-4D28-8D6B-0BFD8E344C6C}"/>
            </a:ext>
          </a:extLst>
        </xdr:cNvPr>
        <xdr:cNvSpPr txBox="1"/>
      </xdr:nvSpPr>
      <xdr:spPr>
        <a:xfrm>
          <a:off x="4561114" y="2601686"/>
          <a:ext cx="1669597" cy="208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latin typeface="Calibri" panose="020F0502020204030204" pitchFamily="34" charset="0"/>
            </a:rPr>
            <a:t>Total</a:t>
          </a:r>
          <a:r>
            <a:rPr lang="en-IN" sz="1600" b="1" baseline="0">
              <a:latin typeface="Calibri" panose="020F0502020204030204" pitchFamily="34" charset="0"/>
            </a:rPr>
            <a:t> Investment</a:t>
          </a:r>
          <a:endParaRPr lang="en-IN" sz="1600" b="1">
            <a:latin typeface="Calibri" panose="020F0502020204030204" pitchFamily="34" charset="0"/>
          </a:endParaRPr>
        </a:p>
      </xdr:txBody>
    </xdr:sp>
    <xdr:clientData/>
  </xdr:twoCellAnchor>
  <xdr:twoCellAnchor>
    <xdr:from>
      <xdr:col>10</xdr:col>
      <xdr:colOff>615043</xdr:colOff>
      <xdr:row>14</xdr:row>
      <xdr:rowOff>57150</xdr:rowOff>
    </xdr:from>
    <xdr:to>
      <xdr:col>14</xdr:col>
      <xdr:colOff>312963</xdr:colOff>
      <xdr:row>15</xdr:row>
      <xdr:rowOff>122464</xdr:rowOff>
    </xdr:to>
    <xdr:sp macro="" textlink="">
      <xdr:nvSpPr>
        <xdr:cNvPr id="15" name="TextBox 14">
          <a:extLst>
            <a:ext uri="{FF2B5EF4-FFF2-40B4-BE49-F238E27FC236}">
              <a16:creationId xmlns:a16="http://schemas.microsoft.com/office/drawing/2014/main" id="{946BF9CB-7DB0-4F0D-9782-67A156183877}"/>
            </a:ext>
          </a:extLst>
        </xdr:cNvPr>
        <xdr:cNvSpPr txBox="1"/>
      </xdr:nvSpPr>
      <xdr:spPr>
        <a:xfrm>
          <a:off x="7092043" y="2590800"/>
          <a:ext cx="2288720" cy="2462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latin typeface="Calibri" panose="020F0502020204030204" pitchFamily="34" charset="0"/>
            </a:rPr>
            <a:t>Avg Monthly Investment</a:t>
          </a:r>
        </a:p>
      </xdr:txBody>
    </xdr:sp>
    <xdr:clientData/>
  </xdr:twoCellAnchor>
  <xdr:twoCellAnchor>
    <xdr:from>
      <xdr:col>15</xdr:col>
      <xdr:colOff>233921</xdr:colOff>
      <xdr:row>10</xdr:row>
      <xdr:rowOff>40236</xdr:rowOff>
    </xdr:from>
    <xdr:to>
      <xdr:col>18</xdr:col>
      <xdr:colOff>454904</xdr:colOff>
      <xdr:row>16</xdr:row>
      <xdr:rowOff>18057</xdr:rowOff>
    </xdr:to>
    <xdr:sp macro="" textlink="Pivot_Data!N15">
      <xdr:nvSpPr>
        <xdr:cNvPr id="16" name="Rectangle: Rounded Corners 15">
          <a:extLst>
            <a:ext uri="{FF2B5EF4-FFF2-40B4-BE49-F238E27FC236}">
              <a16:creationId xmlns:a16="http://schemas.microsoft.com/office/drawing/2014/main" id="{6115C27F-B5E0-429E-B4C8-FC99B10F8E16}"/>
            </a:ext>
          </a:extLst>
        </xdr:cNvPr>
        <xdr:cNvSpPr/>
      </xdr:nvSpPr>
      <xdr:spPr>
        <a:xfrm>
          <a:off x="9949421" y="1849986"/>
          <a:ext cx="2164083" cy="1063671"/>
        </a:xfrm>
        <a:prstGeom prst="roundRect">
          <a:avLst>
            <a:gd name="adj" fmla="val 5658"/>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78B60E0D-C81B-4DCA-898C-167F04D2209E}" type="TxLink">
            <a:rPr lang="en-US" sz="1600" b="0" i="0" u="none" strike="noStrike">
              <a:solidFill>
                <a:srgbClr val="000000"/>
              </a:solidFill>
              <a:latin typeface="Calibri"/>
              <a:ea typeface="Calibri"/>
              <a:cs typeface="Calibri"/>
            </a:rPr>
            <a:pPr marL="0" indent="0" algn="ctr"/>
            <a:t>8</a:t>
          </a:fld>
          <a:endParaRPr lang="en-US" sz="1600" b="0" i="0" u="none" strike="noStrike">
            <a:solidFill>
              <a:srgbClr val="000000"/>
            </a:solidFill>
            <a:latin typeface="Calibri"/>
            <a:ea typeface="Calibri"/>
            <a:cs typeface="Calibri"/>
          </a:endParaRPr>
        </a:p>
      </xdr:txBody>
    </xdr:sp>
    <xdr:clientData/>
  </xdr:twoCellAnchor>
  <xdr:twoCellAnchor editAs="oneCell">
    <xdr:from>
      <xdr:col>15</xdr:col>
      <xdr:colOff>299357</xdr:colOff>
      <xdr:row>10</xdr:row>
      <xdr:rowOff>47626</xdr:rowOff>
    </xdr:from>
    <xdr:to>
      <xdr:col>16</xdr:col>
      <xdr:colOff>85018</xdr:colOff>
      <xdr:row>12</xdr:row>
      <xdr:rowOff>112233</xdr:rowOff>
    </xdr:to>
    <xdr:pic>
      <xdr:nvPicPr>
        <xdr:cNvPr id="17" name="Graphic 16" descr="Gauge">
          <a:extLst>
            <a:ext uri="{FF2B5EF4-FFF2-40B4-BE49-F238E27FC236}">
              <a16:creationId xmlns:a16="http://schemas.microsoft.com/office/drawing/2014/main" id="{9A13F60E-23A4-4183-B3B6-D2B74E02BEF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014857" y="1857376"/>
          <a:ext cx="433361" cy="426557"/>
        </a:xfrm>
        <a:prstGeom prst="rect">
          <a:avLst/>
        </a:prstGeom>
      </xdr:spPr>
    </xdr:pic>
    <xdr:clientData/>
  </xdr:twoCellAnchor>
  <xdr:twoCellAnchor>
    <xdr:from>
      <xdr:col>15</xdr:col>
      <xdr:colOff>186417</xdr:colOff>
      <xdr:row>14</xdr:row>
      <xdr:rowOff>16328</xdr:rowOff>
    </xdr:from>
    <xdr:to>
      <xdr:col>18</xdr:col>
      <xdr:colOff>483054</xdr:colOff>
      <xdr:row>15</xdr:row>
      <xdr:rowOff>61230</xdr:rowOff>
    </xdr:to>
    <xdr:sp macro="" textlink="">
      <xdr:nvSpPr>
        <xdr:cNvPr id="18" name="TextBox 17">
          <a:extLst>
            <a:ext uri="{FF2B5EF4-FFF2-40B4-BE49-F238E27FC236}">
              <a16:creationId xmlns:a16="http://schemas.microsoft.com/office/drawing/2014/main" id="{7BB6B676-1AB5-4FA1-92C9-D4D6B5E0E4EF}"/>
            </a:ext>
          </a:extLst>
        </xdr:cNvPr>
        <xdr:cNvSpPr txBox="1"/>
      </xdr:nvSpPr>
      <xdr:spPr>
        <a:xfrm>
          <a:off x="9901917" y="2549978"/>
          <a:ext cx="2239737" cy="225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latin typeface="Calibri" panose="020F0502020204030204" pitchFamily="34" charset="0"/>
            </a:rPr>
            <a:t>Average year to Invest</a:t>
          </a:r>
        </a:p>
      </xdr:txBody>
    </xdr:sp>
    <xdr:clientData/>
  </xdr:twoCellAnchor>
  <xdr:twoCellAnchor editAs="oneCell">
    <xdr:from>
      <xdr:col>18</xdr:col>
      <xdr:colOff>429862</xdr:colOff>
      <xdr:row>17</xdr:row>
      <xdr:rowOff>96054</xdr:rowOff>
    </xdr:from>
    <xdr:to>
      <xdr:col>21</xdr:col>
      <xdr:colOff>409452</xdr:colOff>
      <xdr:row>20</xdr:row>
      <xdr:rowOff>162051</xdr:rowOff>
    </xdr:to>
    <mc:AlternateContent xmlns:mc="http://schemas.openxmlformats.org/markup-compatibility/2006">
      <mc:Choice xmlns:a14="http://schemas.microsoft.com/office/drawing/2010/main" Requires="a14">
        <xdr:graphicFrame macro="">
          <xdr:nvGraphicFramePr>
            <xdr:cNvPr id="19" name="Gender 1">
              <a:extLst>
                <a:ext uri="{FF2B5EF4-FFF2-40B4-BE49-F238E27FC236}">
                  <a16:creationId xmlns:a16="http://schemas.microsoft.com/office/drawing/2014/main" id="{0A158376-8F2E-4DEF-8CD5-14BAE4FCB4DB}"/>
                </a:ext>
                <a:ext uri="{C183D7F6-B498-43B3-948B-1728B52AA6E4}">
                  <adec:decorative xmlns:adec="http://schemas.microsoft.com/office/drawing/2017/decorative" val="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2002737" y="3132149"/>
              <a:ext cx="1908403" cy="6017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136070</xdr:colOff>
      <xdr:row>18</xdr:row>
      <xdr:rowOff>149679</xdr:rowOff>
    </xdr:from>
    <xdr:to>
      <xdr:col>5</xdr:col>
      <xdr:colOff>625928</xdr:colOff>
      <xdr:row>22</xdr:row>
      <xdr:rowOff>20412</xdr:rowOff>
    </xdr:to>
    <xdr:sp macro="" textlink="">
      <xdr:nvSpPr>
        <xdr:cNvPr id="20" name="TextBox 19">
          <a:hlinkClick xmlns:r="http://schemas.openxmlformats.org/officeDocument/2006/relationships" r:id="rId7"/>
          <a:extLst>
            <a:ext uri="{FF2B5EF4-FFF2-40B4-BE49-F238E27FC236}">
              <a16:creationId xmlns:a16="http://schemas.microsoft.com/office/drawing/2014/main" id="{ECCC497F-0902-4774-90E0-2A606D47F2E7}"/>
            </a:ext>
          </a:extLst>
        </xdr:cNvPr>
        <xdr:cNvSpPr txBox="1"/>
      </xdr:nvSpPr>
      <xdr:spPr>
        <a:xfrm>
          <a:off x="2079170" y="3407229"/>
          <a:ext cx="1785258" cy="594633"/>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IN" sz="1600" b="1" u="sng" baseline="0">
              <a:solidFill>
                <a:schemeClr val="accent1"/>
              </a:solidFill>
              <a:latin typeface="Calibri" panose="020F0502020204030204" pitchFamily="34" charset="0"/>
            </a:rPr>
            <a:t>User metrics</a:t>
          </a:r>
        </a:p>
      </xdr:txBody>
    </xdr:sp>
    <xdr:clientData/>
  </xdr:twoCellAnchor>
  <xdr:twoCellAnchor>
    <xdr:from>
      <xdr:col>3</xdr:col>
      <xdr:colOff>159202</xdr:colOff>
      <xdr:row>23</xdr:row>
      <xdr:rowOff>50346</xdr:rowOff>
    </xdr:from>
    <xdr:to>
      <xdr:col>6</xdr:col>
      <xdr:colOff>2721</xdr:colOff>
      <xdr:row>26</xdr:row>
      <xdr:rowOff>104776</xdr:rowOff>
    </xdr:to>
    <xdr:sp macro="" textlink="">
      <xdr:nvSpPr>
        <xdr:cNvPr id="21" name="TextBox 20">
          <a:hlinkClick xmlns:r="http://schemas.openxmlformats.org/officeDocument/2006/relationships" r:id="rId8"/>
          <a:extLst>
            <a:ext uri="{FF2B5EF4-FFF2-40B4-BE49-F238E27FC236}">
              <a16:creationId xmlns:a16="http://schemas.microsoft.com/office/drawing/2014/main" id="{C691C5E9-C7D6-4164-90D6-27BDB17FD9C7}"/>
            </a:ext>
          </a:extLst>
        </xdr:cNvPr>
        <xdr:cNvSpPr txBox="1"/>
      </xdr:nvSpPr>
      <xdr:spPr>
        <a:xfrm>
          <a:off x="2102302" y="4212771"/>
          <a:ext cx="1786619" cy="597355"/>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IN" sz="1600" b="1" u="sng" baseline="0">
              <a:solidFill>
                <a:schemeClr val="accent1"/>
              </a:solidFill>
              <a:latin typeface="Calibri" panose="020F0502020204030204" pitchFamily="34" charset="0"/>
            </a:rPr>
            <a:t>Investment &amp; Income metrics</a:t>
          </a:r>
        </a:p>
      </xdr:txBody>
    </xdr:sp>
    <xdr:clientData/>
  </xdr:twoCellAnchor>
  <xdr:twoCellAnchor>
    <xdr:from>
      <xdr:col>6</xdr:col>
      <xdr:colOff>562841</xdr:colOff>
      <xdr:row>22</xdr:row>
      <xdr:rowOff>43295</xdr:rowOff>
    </xdr:from>
    <xdr:to>
      <xdr:col>14</xdr:col>
      <xdr:colOff>60614</xdr:colOff>
      <xdr:row>51</xdr:row>
      <xdr:rowOff>147205</xdr:rowOff>
    </xdr:to>
    <xdr:graphicFrame macro="">
      <xdr:nvGraphicFramePr>
        <xdr:cNvPr id="25" name="Chart 24">
          <a:extLst>
            <a:ext uri="{FF2B5EF4-FFF2-40B4-BE49-F238E27FC236}">
              <a16:creationId xmlns:a16="http://schemas.microsoft.com/office/drawing/2014/main" id="{B0044D33-70D5-4311-9780-5AB5012169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181843</xdr:colOff>
      <xdr:row>22</xdr:row>
      <xdr:rowOff>43296</xdr:rowOff>
    </xdr:from>
    <xdr:to>
      <xdr:col>21</xdr:col>
      <xdr:colOff>467590</xdr:colOff>
      <xdr:row>38</xdr:row>
      <xdr:rowOff>8659</xdr:rowOff>
    </xdr:to>
    <xdr:graphicFrame macro="">
      <xdr:nvGraphicFramePr>
        <xdr:cNvPr id="29" name="Chart 28">
          <a:extLst>
            <a:ext uri="{FF2B5EF4-FFF2-40B4-BE49-F238E27FC236}">
              <a16:creationId xmlns:a16="http://schemas.microsoft.com/office/drawing/2014/main" id="{1CE4411C-2612-4B8F-A5B8-5C31637752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199160</xdr:colOff>
      <xdr:row>38</xdr:row>
      <xdr:rowOff>173182</xdr:rowOff>
    </xdr:from>
    <xdr:to>
      <xdr:col>21</xdr:col>
      <xdr:colOff>450271</xdr:colOff>
      <xdr:row>52</xdr:row>
      <xdr:rowOff>0</xdr:rowOff>
    </xdr:to>
    <xdr:graphicFrame macro="">
      <xdr:nvGraphicFramePr>
        <xdr:cNvPr id="32" name="Chart 31">
          <a:extLst>
            <a:ext uri="{FF2B5EF4-FFF2-40B4-BE49-F238E27FC236}">
              <a16:creationId xmlns:a16="http://schemas.microsoft.com/office/drawing/2014/main" id="{9BB7B9ED-354A-4697-B408-824E73B799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155738</xdr:colOff>
      <xdr:row>27</xdr:row>
      <xdr:rowOff>159451</xdr:rowOff>
    </xdr:from>
    <xdr:to>
      <xdr:col>5</xdr:col>
      <xdr:colOff>648688</xdr:colOff>
      <xdr:row>31</xdr:row>
      <xdr:rowOff>32039</xdr:rowOff>
    </xdr:to>
    <xdr:sp macro="" textlink="">
      <xdr:nvSpPr>
        <xdr:cNvPr id="33" name="TextBox 32">
          <a:hlinkClick xmlns:r="http://schemas.openxmlformats.org/officeDocument/2006/relationships" r:id="rId12"/>
          <a:extLst>
            <a:ext uri="{FF2B5EF4-FFF2-40B4-BE49-F238E27FC236}">
              <a16:creationId xmlns:a16="http://schemas.microsoft.com/office/drawing/2014/main" id="{DA32F536-8309-4D89-4208-7CF699557ABE}"/>
            </a:ext>
          </a:extLst>
        </xdr:cNvPr>
        <xdr:cNvSpPr txBox="1"/>
      </xdr:nvSpPr>
      <xdr:spPr>
        <a:xfrm>
          <a:off x="2104034" y="5069156"/>
          <a:ext cx="1791814" cy="599952"/>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IN" sz="1600" b="1" u="sng" baseline="0">
              <a:solidFill>
                <a:schemeClr val="accent1"/>
              </a:solidFill>
              <a:latin typeface="Calibri" panose="020F0502020204030204" pitchFamily="34" charset="0"/>
            </a:rPr>
            <a:t>Goal Metrics</a:t>
          </a:r>
        </a:p>
      </xdr:txBody>
    </xdr:sp>
    <xdr:clientData/>
  </xdr:twoCellAnchor>
  <xdr:twoCellAnchor editAs="oneCell">
    <xdr:from>
      <xdr:col>15</xdr:col>
      <xdr:colOff>406977</xdr:colOff>
      <xdr:row>17</xdr:row>
      <xdr:rowOff>86592</xdr:rowOff>
    </xdr:from>
    <xdr:to>
      <xdr:col>18</xdr:col>
      <xdr:colOff>287482</xdr:colOff>
      <xdr:row>20</xdr:row>
      <xdr:rowOff>173183</xdr:rowOff>
    </xdr:to>
    <mc:AlternateContent xmlns:mc="http://schemas.openxmlformats.org/markup-compatibility/2006">
      <mc:Choice xmlns:a14="http://schemas.microsoft.com/office/drawing/2010/main" Requires="a14">
        <xdr:graphicFrame macro="">
          <xdr:nvGraphicFramePr>
            <xdr:cNvPr id="34" name="Working professional 1">
              <a:extLst>
                <a:ext uri="{FF2B5EF4-FFF2-40B4-BE49-F238E27FC236}">
                  <a16:creationId xmlns:a16="http://schemas.microsoft.com/office/drawing/2014/main" id="{9D6B16A9-457D-4695-83A5-27A4202FD5D6}"/>
                </a:ext>
              </a:extLst>
            </xdr:cNvPr>
            <xdr:cNvGraphicFramePr/>
          </xdr:nvGraphicFramePr>
          <xdr:xfrm>
            <a:off x="0" y="0"/>
            <a:ext cx="0" cy="0"/>
          </xdr:xfrm>
          <a:graphic>
            <a:graphicData uri="http://schemas.microsoft.com/office/drawing/2010/slicer">
              <sle:slicer xmlns:sle="http://schemas.microsoft.com/office/drawing/2010/slicer" name="Working professional 1"/>
            </a:graphicData>
          </a:graphic>
        </xdr:graphicFrame>
      </mc:Choice>
      <mc:Fallback>
        <xdr:sp macro="" textlink="">
          <xdr:nvSpPr>
            <xdr:cNvPr id="0" name=""/>
            <xdr:cNvSpPr>
              <a:spLocks noTextEdit="1"/>
            </xdr:cNvSpPr>
          </xdr:nvSpPr>
          <xdr:spPr>
            <a:xfrm>
              <a:off x="10051040" y="3122687"/>
              <a:ext cx="1809317" cy="6223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610806</xdr:colOff>
      <xdr:row>16</xdr:row>
      <xdr:rowOff>172352</xdr:rowOff>
    </xdr:from>
    <xdr:to>
      <xdr:col>6</xdr:col>
      <xdr:colOff>170546</xdr:colOff>
      <xdr:row>52</xdr:row>
      <xdr:rowOff>156741</xdr:rowOff>
    </xdr:to>
    <xdr:sp macro="" textlink="">
      <xdr:nvSpPr>
        <xdr:cNvPr id="2" name="Rectangle: Rounded Corners 1">
          <a:extLst>
            <a:ext uri="{FF2B5EF4-FFF2-40B4-BE49-F238E27FC236}">
              <a16:creationId xmlns:a16="http://schemas.microsoft.com/office/drawing/2014/main" id="{7B56BDEF-AC2E-4D9F-9C29-1C9081A021E5}"/>
            </a:ext>
          </a:extLst>
        </xdr:cNvPr>
        <xdr:cNvSpPr/>
      </xdr:nvSpPr>
      <xdr:spPr>
        <a:xfrm>
          <a:off x="1906206" y="3067952"/>
          <a:ext cx="2150540" cy="6499489"/>
        </a:xfrm>
        <a:prstGeom prst="roundRect">
          <a:avLst>
            <a:gd name="adj" fmla="val 2088"/>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310283</xdr:colOff>
      <xdr:row>16</xdr:row>
      <xdr:rowOff>181839</xdr:rowOff>
    </xdr:from>
    <xdr:to>
      <xdr:col>22</xdr:col>
      <xdr:colOff>0</xdr:colOff>
      <xdr:row>52</xdr:row>
      <xdr:rowOff>164522</xdr:rowOff>
    </xdr:to>
    <xdr:sp macro="" textlink="">
      <xdr:nvSpPr>
        <xdr:cNvPr id="3" name="Rectangle: Rounded Corners 2">
          <a:extLst>
            <a:ext uri="{FF2B5EF4-FFF2-40B4-BE49-F238E27FC236}">
              <a16:creationId xmlns:a16="http://schemas.microsoft.com/office/drawing/2014/main" id="{05719EE0-E643-46AC-90F4-E66340FF87F1}"/>
            </a:ext>
          </a:extLst>
        </xdr:cNvPr>
        <xdr:cNvSpPr/>
      </xdr:nvSpPr>
      <xdr:spPr>
        <a:xfrm>
          <a:off x="4196483" y="3077439"/>
          <a:ext cx="10052917" cy="6497783"/>
        </a:xfrm>
        <a:prstGeom prst="roundRect">
          <a:avLst>
            <a:gd name="adj" fmla="val 790"/>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423541</xdr:colOff>
      <xdr:row>10</xdr:row>
      <xdr:rowOff>54428</xdr:rowOff>
    </xdr:from>
    <xdr:to>
      <xdr:col>9</xdr:col>
      <xdr:colOff>644523</xdr:colOff>
      <xdr:row>16</xdr:row>
      <xdr:rowOff>32294</xdr:rowOff>
    </xdr:to>
    <xdr:sp macro="" textlink="Pivot_Data!B8">
      <xdr:nvSpPr>
        <xdr:cNvPr id="4" name="Rectangle: Rounded Corners 3">
          <a:extLst>
            <a:ext uri="{FF2B5EF4-FFF2-40B4-BE49-F238E27FC236}">
              <a16:creationId xmlns:a16="http://schemas.microsoft.com/office/drawing/2014/main" id="{F5246C63-6A33-4986-B905-6E6804166DD0}"/>
            </a:ext>
          </a:extLst>
        </xdr:cNvPr>
        <xdr:cNvSpPr/>
      </xdr:nvSpPr>
      <xdr:spPr>
        <a:xfrm>
          <a:off x="4309741" y="1864178"/>
          <a:ext cx="2164082" cy="1063716"/>
        </a:xfrm>
        <a:prstGeom prst="roundRect">
          <a:avLst>
            <a:gd name="adj" fmla="val 5658"/>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505B2FC-CE03-4AB5-847F-65E7645D9DDB}" type="TxLink">
            <a:rPr lang="en-US" sz="1600" b="0" i="0" u="none" strike="noStrike">
              <a:solidFill>
                <a:srgbClr val="000000"/>
              </a:solidFill>
              <a:latin typeface="Calibri"/>
              <a:ea typeface="Calibri"/>
              <a:cs typeface="Calibri"/>
            </a:rPr>
            <a:pPr marL="0" indent="0" algn="ctr"/>
            <a:t> 2,40,31,200 </a:t>
          </a:fld>
          <a:endParaRPr lang="en-IN" sz="1600">
            <a:solidFill>
              <a:schemeClr val="lt1"/>
            </a:solidFill>
            <a:latin typeface="+mn-lt"/>
            <a:ea typeface="+mn-ea"/>
            <a:cs typeface="+mn-cs"/>
          </a:endParaRPr>
        </a:p>
      </xdr:txBody>
    </xdr:sp>
    <xdr:clientData/>
  </xdr:twoCellAnchor>
  <xdr:twoCellAnchor>
    <xdr:from>
      <xdr:col>11</xdr:col>
      <xdr:colOff>20288</xdr:colOff>
      <xdr:row>10</xdr:row>
      <xdr:rowOff>51122</xdr:rowOff>
    </xdr:from>
    <xdr:to>
      <xdr:col>14</xdr:col>
      <xdr:colOff>241271</xdr:colOff>
      <xdr:row>16</xdr:row>
      <xdr:rowOff>28943</xdr:rowOff>
    </xdr:to>
    <xdr:sp macro="" textlink="Pivot_Data!R14">
      <xdr:nvSpPr>
        <xdr:cNvPr id="5" name="Rectangle: Rounded Corners 4">
          <a:extLst>
            <a:ext uri="{FF2B5EF4-FFF2-40B4-BE49-F238E27FC236}">
              <a16:creationId xmlns:a16="http://schemas.microsoft.com/office/drawing/2014/main" id="{8AD75396-1C69-4323-AA4A-D385DFF58D46}"/>
            </a:ext>
          </a:extLst>
        </xdr:cNvPr>
        <xdr:cNvSpPr/>
      </xdr:nvSpPr>
      <xdr:spPr>
        <a:xfrm>
          <a:off x="7144988" y="1860872"/>
          <a:ext cx="2164083" cy="1063671"/>
        </a:xfrm>
        <a:prstGeom prst="roundRect">
          <a:avLst>
            <a:gd name="adj" fmla="val 5658"/>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415B295A-DC56-4501-A3BF-7A20B4A55D83}" type="TxLink">
            <a:rPr lang="en-US" sz="1600" b="0" i="0" u="none" strike="noStrike">
              <a:solidFill>
                <a:srgbClr val="000000"/>
              </a:solidFill>
              <a:latin typeface="Calibri"/>
              <a:ea typeface="Calibri"/>
              <a:cs typeface="Calibri"/>
            </a:rPr>
            <a:pPr marL="0" indent="0" algn="ctr"/>
            <a:t> 2,892 </a:t>
          </a:fld>
          <a:endParaRPr lang="en-IN" sz="1600" b="0" i="0" u="none" strike="noStrike">
            <a:solidFill>
              <a:srgbClr val="000000"/>
            </a:solidFill>
            <a:latin typeface="Calibri"/>
            <a:ea typeface="Calibri"/>
            <a:cs typeface="Calibri"/>
          </a:endParaRPr>
        </a:p>
      </xdr:txBody>
    </xdr:sp>
    <xdr:clientData/>
  </xdr:twoCellAnchor>
  <xdr:twoCellAnchor>
    <xdr:from>
      <xdr:col>6</xdr:col>
      <xdr:colOff>518449</xdr:colOff>
      <xdr:row>17</xdr:row>
      <xdr:rowOff>6803</xdr:rowOff>
    </xdr:from>
    <xdr:to>
      <xdr:col>21</xdr:col>
      <xdr:colOff>458931</xdr:colOff>
      <xdr:row>21</xdr:row>
      <xdr:rowOff>54428</xdr:rowOff>
    </xdr:to>
    <xdr:sp macro="" textlink="">
      <xdr:nvSpPr>
        <xdr:cNvPr id="6" name="TextBox 5">
          <a:extLst>
            <a:ext uri="{FF2B5EF4-FFF2-40B4-BE49-F238E27FC236}">
              <a16:creationId xmlns:a16="http://schemas.microsoft.com/office/drawing/2014/main" id="{FD659CF7-11A3-43FB-9F94-B0043B33218B}"/>
            </a:ext>
          </a:extLst>
        </xdr:cNvPr>
        <xdr:cNvSpPr txBox="1"/>
      </xdr:nvSpPr>
      <xdr:spPr>
        <a:xfrm>
          <a:off x="4404649" y="3083378"/>
          <a:ext cx="9655982" cy="7715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000" b="1" u="none" baseline="0">
              <a:solidFill>
                <a:schemeClr val="tx1"/>
              </a:solidFill>
              <a:uFill>
                <a:solidFill>
                  <a:schemeClr val="accent1"/>
                </a:solidFill>
              </a:uFill>
              <a:latin typeface="Calibri" panose="020F0502020204030204" pitchFamily="34" charset="0"/>
            </a:rPr>
            <a:t>Goal Metrics</a:t>
          </a:r>
        </a:p>
      </xdr:txBody>
    </xdr:sp>
    <xdr:clientData/>
  </xdr:twoCellAnchor>
  <xdr:twoCellAnchor>
    <xdr:from>
      <xdr:col>6</xdr:col>
      <xdr:colOff>572706</xdr:colOff>
      <xdr:row>21</xdr:row>
      <xdr:rowOff>25976</xdr:rowOff>
    </xdr:from>
    <xdr:to>
      <xdr:col>21</xdr:col>
      <xdr:colOff>432954</xdr:colOff>
      <xdr:row>21</xdr:row>
      <xdr:rowOff>30142</xdr:rowOff>
    </xdr:to>
    <xdr:cxnSp macro="">
      <xdr:nvCxnSpPr>
        <xdr:cNvPr id="7" name="Straight Connector 6">
          <a:extLst>
            <a:ext uri="{FF2B5EF4-FFF2-40B4-BE49-F238E27FC236}">
              <a16:creationId xmlns:a16="http://schemas.microsoft.com/office/drawing/2014/main" id="{639F00CA-7F9A-4030-936E-2310C0144651}"/>
            </a:ext>
          </a:extLst>
        </xdr:cNvPr>
        <xdr:cNvCxnSpPr/>
      </xdr:nvCxnSpPr>
      <xdr:spPr>
        <a:xfrm flipV="1">
          <a:off x="4458906" y="3826451"/>
          <a:ext cx="9575748" cy="416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620933</xdr:colOff>
      <xdr:row>10</xdr:row>
      <xdr:rowOff>88447</xdr:rowOff>
    </xdr:from>
    <xdr:to>
      <xdr:col>6</xdr:col>
      <xdr:colOff>168797</xdr:colOff>
      <xdr:row>16</xdr:row>
      <xdr:rowOff>0</xdr:rowOff>
    </xdr:to>
    <xdr:sp macro="" textlink="">
      <xdr:nvSpPr>
        <xdr:cNvPr id="8" name="TextBox 7">
          <a:extLst>
            <a:ext uri="{FF2B5EF4-FFF2-40B4-BE49-F238E27FC236}">
              <a16:creationId xmlns:a16="http://schemas.microsoft.com/office/drawing/2014/main" id="{C4226431-3338-4456-82BB-E33E5ED78C9C}"/>
            </a:ext>
          </a:extLst>
        </xdr:cNvPr>
        <xdr:cNvSpPr txBox="1"/>
      </xdr:nvSpPr>
      <xdr:spPr>
        <a:xfrm>
          <a:off x="1916333" y="1898197"/>
          <a:ext cx="2138664" cy="9974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600" b="1" baseline="0">
              <a:solidFill>
                <a:schemeClr val="accent1"/>
              </a:solidFill>
              <a:latin typeface="Calibri" panose="020F0502020204030204" pitchFamily="34" charset="0"/>
            </a:rPr>
            <a:t>Investment Analysis</a:t>
          </a:r>
        </a:p>
      </xdr:txBody>
    </xdr:sp>
    <xdr:clientData/>
  </xdr:twoCellAnchor>
  <xdr:twoCellAnchor editAs="oneCell">
    <xdr:from>
      <xdr:col>6</xdr:col>
      <xdr:colOff>442233</xdr:colOff>
      <xdr:row>10</xdr:row>
      <xdr:rowOff>74841</xdr:rowOff>
    </xdr:from>
    <xdr:to>
      <xdr:col>7</xdr:col>
      <xdr:colOff>227893</xdr:colOff>
      <xdr:row>12</xdr:row>
      <xdr:rowOff>139448</xdr:rowOff>
    </xdr:to>
    <xdr:pic>
      <xdr:nvPicPr>
        <xdr:cNvPr id="9" name="Graphic 8" descr="Bar graph with upward trend">
          <a:extLst>
            <a:ext uri="{FF2B5EF4-FFF2-40B4-BE49-F238E27FC236}">
              <a16:creationId xmlns:a16="http://schemas.microsoft.com/office/drawing/2014/main" id="{0AA6D0AC-08AD-4828-9726-C3A1B963581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328433" y="1884591"/>
          <a:ext cx="433360" cy="426557"/>
        </a:xfrm>
        <a:prstGeom prst="rect">
          <a:avLst/>
        </a:prstGeom>
      </xdr:spPr>
    </xdr:pic>
    <xdr:clientData/>
  </xdr:twoCellAnchor>
  <xdr:twoCellAnchor editAs="oneCell">
    <xdr:from>
      <xdr:col>11</xdr:col>
      <xdr:colOff>74838</xdr:colOff>
      <xdr:row>10</xdr:row>
      <xdr:rowOff>95250</xdr:rowOff>
    </xdr:from>
    <xdr:to>
      <xdr:col>11</xdr:col>
      <xdr:colOff>506838</xdr:colOff>
      <xdr:row>12</xdr:row>
      <xdr:rowOff>159857</xdr:rowOff>
    </xdr:to>
    <xdr:pic>
      <xdr:nvPicPr>
        <xdr:cNvPr id="10" name="Graphic 9" descr="Presentation with bar chart RTL">
          <a:extLst>
            <a:ext uri="{FF2B5EF4-FFF2-40B4-BE49-F238E27FC236}">
              <a16:creationId xmlns:a16="http://schemas.microsoft.com/office/drawing/2014/main" id="{28646A46-0BC2-4C6B-983C-F92DC6ECCA3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199538" y="1905000"/>
          <a:ext cx="432000" cy="426557"/>
        </a:xfrm>
        <a:prstGeom prst="rect">
          <a:avLst/>
        </a:prstGeom>
      </xdr:spPr>
    </xdr:pic>
    <xdr:clientData/>
  </xdr:twoCellAnchor>
  <xdr:twoCellAnchor>
    <xdr:from>
      <xdr:col>7</xdr:col>
      <xdr:colOff>27214</xdr:colOff>
      <xdr:row>14</xdr:row>
      <xdr:rowOff>68036</xdr:rowOff>
    </xdr:from>
    <xdr:to>
      <xdr:col>9</xdr:col>
      <xdr:colOff>401411</xdr:colOff>
      <xdr:row>15</xdr:row>
      <xdr:rowOff>95249</xdr:rowOff>
    </xdr:to>
    <xdr:sp macro="" textlink="">
      <xdr:nvSpPr>
        <xdr:cNvPr id="11" name="TextBox 10">
          <a:extLst>
            <a:ext uri="{FF2B5EF4-FFF2-40B4-BE49-F238E27FC236}">
              <a16:creationId xmlns:a16="http://schemas.microsoft.com/office/drawing/2014/main" id="{E7EBD26D-5C08-40D9-ADB4-021386A628FC}"/>
            </a:ext>
          </a:extLst>
        </xdr:cNvPr>
        <xdr:cNvSpPr txBox="1"/>
      </xdr:nvSpPr>
      <xdr:spPr>
        <a:xfrm>
          <a:off x="4561114" y="2601686"/>
          <a:ext cx="1669597" cy="208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latin typeface="Calibri" panose="020F0502020204030204" pitchFamily="34" charset="0"/>
            </a:rPr>
            <a:t>Total</a:t>
          </a:r>
          <a:r>
            <a:rPr lang="en-IN" sz="1600" b="1" baseline="0">
              <a:latin typeface="Calibri" panose="020F0502020204030204" pitchFamily="34" charset="0"/>
            </a:rPr>
            <a:t> Investment</a:t>
          </a:r>
          <a:endParaRPr lang="en-IN" sz="1600" b="1">
            <a:latin typeface="Calibri" panose="020F0502020204030204" pitchFamily="34" charset="0"/>
          </a:endParaRPr>
        </a:p>
      </xdr:txBody>
    </xdr:sp>
    <xdr:clientData/>
  </xdr:twoCellAnchor>
  <xdr:twoCellAnchor>
    <xdr:from>
      <xdr:col>10</xdr:col>
      <xdr:colOff>615043</xdr:colOff>
      <xdr:row>14</xdr:row>
      <xdr:rowOff>57150</xdr:rowOff>
    </xdr:from>
    <xdr:to>
      <xdr:col>14</xdr:col>
      <xdr:colOff>312963</xdr:colOff>
      <xdr:row>15</xdr:row>
      <xdr:rowOff>122464</xdr:rowOff>
    </xdr:to>
    <xdr:sp macro="" textlink="">
      <xdr:nvSpPr>
        <xdr:cNvPr id="12" name="TextBox 11">
          <a:extLst>
            <a:ext uri="{FF2B5EF4-FFF2-40B4-BE49-F238E27FC236}">
              <a16:creationId xmlns:a16="http://schemas.microsoft.com/office/drawing/2014/main" id="{348C633A-FC22-4356-A6D1-AF593457EA4A}"/>
            </a:ext>
          </a:extLst>
        </xdr:cNvPr>
        <xdr:cNvSpPr txBox="1"/>
      </xdr:nvSpPr>
      <xdr:spPr>
        <a:xfrm>
          <a:off x="7092043" y="2590800"/>
          <a:ext cx="2288720" cy="2462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latin typeface="Calibri" panose="020F0502020204030204" pitchFamily="34" charset="0"/>
            </a:rPr>
            <a:t>Avg Monthly Investment</a:t>
          </a:r>
        </a:p>
      </xdr:txBody>
    </xdr:sp>
    <xdr:clientData/>
  </xdr:twoCellAnchor>
  <xdr:twoCellAnchor>
    <xdr:from>
      <xdr:col>15</xdr:col>
      <xdr:colOff>233921</xdr:colOff>
      <xdr:row>10</xdr:row>
      <xdr:rowOff>40236</xdr:rowOff>
    </xdr:from>
    <xdr:to>
      <xdr:col>18</xdr:col>
      <xdr:colOff>454904</xdr:colOff>
      <xdr:row>16</xdr:row>
      <xdr:rowOff>18057</xdr:rowOff>
    </xdr:to>
    <xdr:sp macro="" textlink="Pivot_Data!N15">
      <xdr:nvSpPr>
        <xdr:cNvPr id="13" name="Rectangle: Rounded Corners 12">
          <a:extLst>
            <a:ext uri="{FF2B5EF4-FFF2-40B4-BE49-F238E27FC236}">
              <a16:creationId xmlns:a16="http://schemas.microsoft.com/office/drawing/2014/main" id="{25FD1C33-1F93-40FC-B6B0-DF5B7AAB680A}"/>
            </a:ext>
          </a:extLst>
        </xdr:cNvPr>
        <xdr:cNvSpPr/>
      </xdr:nvSpPr>
      <xdr:spPr>
        <a:xfrm>
          <a:off x="9949421" y="1849986"/>
          <a:ext cx="2164083" cy="1063671"/>
        </a:xfrm>
        <a:prstGeom prst="roundRect">
          <a:avLst>
            <a:gd name="adj" fmla="val 5658"/>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78B60E0D-C81B-4DCA-898C-167F04D2209E}" type="TxLink">
            <a:rPr lang="en-US" sz="1600" b="0" i="0" u="none" strike="noStrike">
              <a:solidFill>
                <a:srgbClr val="000000"/>
              </a:solidFill>
              <a:latin typeface="Calibri"/>
              <a:ea typeface="Calibri"/>
              <a:cs typeface="Calibri"/>
            </a:rPr>
            <a:pPr marL="0" indent="0" algn="ctr"/>
            <a:t>8</a:t>
          </a:fld>
          <a:endParaRPr lang="en-US" sz="1600" b="0" i="0" u="none" strike="noStrike">
            <a:solidFill>
              <a:srgbClr val="000000"/>
            </a:solidFill>
            <a:latin typeface="Calibri"/>
            <a:ea typeface="Calibri"/>
            <a:cs typeface="Calibri"/>
          </a:endParaRPr>
        </a:p>
      </xdr:txBody>
    </xdr:sp>
    <xdr:clientData/>
  </xdr:twoCellAnchor>
  <xdr:twoCellAnchor editAs="oneCell">
    <xdr:from>
      <xdr:col>15</xdr:col>
      <xdr:colOff>299357</xdr:colOff>
      <xdr:row>10</xdr:row>
      <xdr:rowOff>47626</xdr:rowOff>
    </xdr:from>
    <xdr:to>
      <xdr:col>16</xdr:col>
      <xdr:colOff>85018</xdr:colOff>
      <xdr:row>12</xdr:row>
      <xdr:rowOff>112233</xdr:rowOff>
    </xdr:to>
    <xdr:pic>
      <xdr:nvPicPr>
        <xdr:cNvPr id="14" name="Graphic 13" descr="Gauge">
          <a:extLst>
            <a:ext uri="{FF2B5EF4-FFF2-40B4-BE49-F238E27FC236}">
              <a16:creationId xmlns:a16="http://schemas.microsoft.com/office/drawing/2014/main" id="{1C202205-F3D4-4C4E-AC1B-BD7ADCD600E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014857" y="1857376"/>
          <a:ext cx="433361" cy="426557"/>
        </a:xfrm>
        <a:prstGeom prst="rect">
          <a:avLst/>
        </a:prstGeom>
      </xdr:spPr>
    </xdr:pic>
    <xdr:clientData/>
  </xdr:twoCellAnchor>
  <xdr:twoCellAnchor>
    <xdr:from>
      <xdr:col>15</xdr:col>
      <xdr:colOff>186417</xdr:colOff>
      <xdr:row>14</xdr:row>
      <xdr:rowOff>16328</xdr:rowOff>
    </xdr:from>
    <xdr:to>
      <xdr:col>18</xdr:col>
      <xdr:colOff>483054</xdr:colOff>
      <xdr:row>15</xdr:row>
      <xdr:rowOff>61230</xdr:rowOff>
    </xdr:to>
    <xdr:sp macro="" textlink="">
      <xdr:nvSpPr>
        <xdr:cNvPr id="15" name="TextBox 14">
          <a:extLst>
            <a:ext uri="{FF2B5EF4-FFF2-40B4-BE49-F238E27FC236}">
              <a16:creationId xmlns:a16="http://schemas.microsoft.com/office/drawing/2014/main" id="{92D1ED00-A25C-4E82-AFAB-07C9A6D9F164}"/>
            </a:ext>
          </a:extLst>
        </xdr:cNvPr>
        <xdr:cNvSpPr txBox="1"/>
      </xdr:nvSpPr>
      <xdr:spPr>
        <a:xfrm>
          <a:off x="9901917" y="2549978"/>
          <a:ext cx="2239737" cy="225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latin typeface="Calibri" panose="020F0502020204030204" pitchFamily="34" charset="0"/>
            </a:rPr>
            <a:t>Average year to Invest</a:t>
          </a:r>
        </a:p>
      </xdr:txBody>
    </xdr:sp>
    <xdr:clientData/>
  </xdr:twoCellAnchor>
  <xdr:twoCellAnchor editAs="oneCell">
    <xdr:from>
      <xdr:col>18</xdr:col>
      <xdr:colOff>429862</xdr:colOff>
      <xdr:row>17</xdr:row>
      <xdr:rowOff>96054</xdr:rowOff>
    </xdr:from>
    <xdr:to>
      <xdr:col>21</xdr:col>
      <xdr:colOff>409452</xdr:colOff>
      <xdr:row>20</xdr:row>
      <xdr:rowOff>162051</xdr:rowOff>
    </xdr:to>
    <mc:AlternateContent xmlns:mc="http://schemas.openxmlformats.org/markup-compatibility/2006">
      <mc:Choice xmlns:a14="http://schemas.microsoft.com/office/drawing/2010/main" Requires="a14">
        <xdr:graphicFrame macro="">
          <xdr:nvGraphicFramePr>
            <xdr:cNvPr id="16" name="Gender 2">
              <a:extLst>
                <a:ext uri="{FF2B5EF4-FFF2-40B4-BE49-F238E27FC236}">
                  <a16:creationId xmlns:a16="http://schemas.microsoft.com/office/drawing/2014/main" id="{742814D0-387B-4283-A14C-9C45A8E16E83}"/>
                </a:ext>
                <a:ext uri="{C183D7F6-B498-43B3-948B-1728B52AA6E4}">
                  <adec:decorative xmlns:adec="http://schemas.microsoft.com/office/drawing/2017/decorative" val="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12002737" y="3132149"/>
              <a:ext cx="1908403" cy="6017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136070</xdr:colOff>
      <xdr:row>18</xdr:row>
      <xdr:rowOff>149679</xdr:rowOff>
    </xdr:from>
    <xdr:to>
      <xdr:col>5</xdr:col>
      <xdr:colOff>625928</xdr:colOff>
      <xdr:row>22</xdr:row>
      <xdr:rowOff>20412</xdr:rowOff>
    </xdr:to>
    <xdr:sp macro="" textlink="">
      <xdr:nvSpPr>
        <xdr:cNvPr id="17" name="TextBox 16">
          <a:hlinkClick xmlns:r="http://schemas.openxmlformats.org/officeDocument/2006/relationships" r:id="rId7"/>
          <a:extLst>
            <a:ext uri="{FF2B5EF4-FFF2-40B4-BE49-F238E27FC236}">
              <a16:creationId xmlns:a16="http://schemas.microsoft.com/office/drawing/2014/main" id="{A032222B-7C78-4760-BA7F-4E04288ECAE2}"/>
            </a:ext>
          </a:extLst>
        </xdr:cNvPr>
        <xdr:cNvSpPr txBox="1"/>
      </xdr:nvSpPr>
      <xdr:spPr>
        <a:xfrm>
          <a:off x="2079170" y="3407229"/>
          <a:ext cx="1785258" cy="594633"/>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IN" sz="1600" b="1" u="sng" baseline="0">
              <a:solidFill>
                <a:schemeClr val="accent1"/>
              </a:solidFill>
              <a:latin typeface="Calibri" panose="020F0502020204030204" pitchFamily="34" charset="0"/>
            </a:rPr>
            <a:t>User metrics</a:t>
          </a:r>
        </a:p>
      </xdr:txBody>
    </xdr:sp>
    <xdr:clientData/>
  </xdr:twoCellAnchor>
  <xdr:twoCellAnchor>
    <xdr:from>
      <xdr:col>3</xdr:col>
      <xdr:colOff>159202</xdr:colOff>
      <xdr:row>23</xdr:row>
      <xdr:rowOff>50346</xdr:rowOff>
    </xdr:from>
    <xdr:to>
      <xdr:col>6</xdr:col>
      <xdr:colOff>2721</xdr:colOff>
      <xdr:row>26</xdr:row>
      <xdr:rowOff>104776</xdr:rowOff>
    </xdr:to>
    <xdr:sp macro="" textlink="">
      <xdr:nvSpPr>
        <xdr:cNvPr id="18" name="TextBox 17">
          <a:hlinkClick xmlns:r="http://schemas.openxmlformats.org/officeDocument/2006/relationships" r:id="rId8"/>
          <a:extLst>
            <a:ext uri="{FF2B5EF4-FFF2-40B4-BE49-F238E27FC236}">
              <a16:creationId xmlns:a16="http://schemas.microsoft.com/office/drawing/2014/main" id="{584AFDEF-BF36-4BCD-983B-1C4F6B6DBC77}"/>
            </a:ext>
          </a:extLst>
        </xdr:cNvPr>
        <xdr:cNvSpPr txBox="1"/>
      </xdr:nvSpPr>
      <xdr:spPr>
        <a:xfrm>
          <a:off x="2107498" y="4232688"/>
          <a:ext cx="1791814" cy="599952"/>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IN" sz="1600" b="1" u="sng" baseline="0">
              <a:solidFill>
                <a:schemeClr val="accent1"/>
              </a:solidFill>
              <a:latin typeface="Calibri" panose="020F0502020204030204" pitchFamily="34" charset="0"/>
            </a:rPr>
            <a:t>Investment &amp; Income metrics</a:t>
          </a:r>
        </a:p>
      </xdr:txBody>
    </xdr:sp>
    <xdr:clientData/>
  </xdr:twoCellAnchor>
  <xdr:twoCellAnchor>
    <xdr:from>
      <xdr:col>3</xdr:col>
      <xdr:colOff>147080</xdr:colOff>
      <xdr:row>27</xdr:row>
      <xdr:rowOff>176770</xdr:rowOff>
    </xdr:from>
    <xdr:to>
      <xdr:col>5</xdr:col>
      <xdr:colOff>640030</xdr:colOff>
      <xdr:row>31</xdr:row>
      <xdr:rowOff>49358</xdr:rowOff>
    </xdr:to>
    <xdr:sp macro="" textlink="">
      <xdr:nvSpPr>
        <xdr:cNvPr id="22" name="TextBox 21">
          <a:hlinkClick xmlns:r="http://schemas.openxmlformats.org/officeDocument/2006/relationships" r:id="rId9"/>
          <a:extLst>
            <a:ext uri="{FF2B5EF4-FFF2-40B4-BE49-F238E27FC236}">
              <a16:creationId xmlns:a16="http://schemas.microsoft.com/office/drawing/2014/main" id="{395A831D-DCD8-B45F-C5DA-F6BDD97B6901}"/>
            </a:ext>
          </a:extLst>
        </xdr:cNvPr>
        <xdr:cNvSpPr txBox="1"/>
      </xdr:nvSpPr>
      <xdr:spPr>
        <a:xfrm>
          <a:off x="2095376" y="5086475"/>
          <a:ext cx="1791814" cy="599952"/>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IN" sz="1600" b="1" u="sng" baseline="0">
              <a:solidFill>
                <a:schemeClr val="accent1"/>
              </a:solidFill>
              <a:latin typeface="Calibri" panose="020F0502020204030204" pitchFamily="34" charset="0"/>
            </a:rPr>
            <a:t>Goal Metrics</a:t>
          </a:r>
        </a:p>
      </xdr:txBody>
    </xdr:sp>
    <xdr:clientData/>
  </xdr:twoCellAnchor>
  <xdr:twoCellAnchor>
    <xdr:from>
      <xdr:col>6</xdr:col>
      <xdr:colOff>580158</xdr:colOff>
      <xdr:row>21</xdr:row>
      <xdr:rowOff>173183</xdr:rowOff>
    </xdr:from>
    <xdr:to>
      <xdr:col>21</xdr:col>
      <xdr:colOff>432954</xdr:colOff>
      <xdr:row>38</xdr:row>
      <xdr:rowOff>8659</xdr:rowOff>
    </xdr:to>
    <xdr:graphicFrame macro="">
      <xdr:nvGraphicFramePr>
        <xdr:cNvPr id="23" name="Chart 22">
          <a:extLst>
            <a:ext uri="{FF2B5EF4-FFF2-40B4-BE49-F238E27FC236}">
              <a16:creationId xmlns:a16="http://schemas.microsoft.com/office/drawing/2014/main" id="{14182103-B892-4493-9DD3-BAAB055ED5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562840</xdr:colOff>
      <xdr:row>38</xdr:row>
      <xdr:rowOff>173181</xdr:rowOff>
    </xdr:from>
    <xdr:to>
      <xdr:col>15</xdr:col>
      <xdr:colOff>372341</xdr:colOff>
      <xdr:row>51</xdr:row>
      <xdr:rowOff>147204</xdr:rowOff>
    </xdr:to>
    <xdr:graphicFrame macro="">
      <xdr:nvGraphicFramePr>
        <xdr:cNvPr id="25" name="Chart 24">
          <a:extLst>
            <a:ext uri="{FF2B5EF4-FFF2-40B4-BE49-F238E27FC236}">
              <a16:creationId xmlns:a16="http://schemas.microsoft.com/office/drawing/2014/main" id="{FA85A6BE-DDA6-4BE6-94A9-BF1294337C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15</xdr:col>
      <xdr:colOff>363681</xdr:colOff>
      <xdr:row>17</xdr:row>
      <xdr:rowOff>77931</xdr:rowOff>
    </xdr:from>
    <xdr:to>
      <xdr:col>18</xdr:col>
      <xdr:colOff>244186</xdr:colOff>
      <xdr:row>20</xdr:row>
      <xdr:rowOff>164522</xdr:rowOff>
    </xdr:to>
    <mc:AlternateContent xmlns:mc="http://schemas.openxmlformats.org/markup-compatibility/2006">
      <mc:Choice xmlns:a14="http://schemas.microsoft.com/office/drawing/2010/main" Requires="a14">
        <xdr:graphicFrame macro="">
          <xdr:nvGraphicFramePr>
            <xdr:cNvPr id="26" name="Working professional 2">
              <a:extLst>
                <a:ext uri="{FF2B5EF4-FFF2-40B4-BE49-F238E27FC236}">
                  <a16:creationId xmlns:a16="http://schemas.microsoft.com/office/drawing/2014/main" id="{DDAE8136-B354-4278-A462-016E23316CAC}"/>
                </a:ext>
              </a:extLst>
            </xdr:cNvPr>
            <xdr:cNvGraphicFramePr/>
          </xdr:nvGraphicFramePr>
          <xdr:xfrm>
            <a:off x="0" y="0"/>
            <a:ext cx="0" cy="0"/>
          </xdr:xfrm>
          <a:graphic>
            <a:graphicData uri="http://schemas.microsoft.com/office/drawing/2010/slicer">
              <sle:slicer xmlns:sle="http://schemas.microsoft.com/office/drawing/2010/slicer" name="Working professional 2"/>
            </a:graphicData>
          </a:graphic>
        </xdr:graphicFrame>
      </mc:Choice>
      <mc:Fallback>
        <xdr:sp macro="" textlink="">
          <xdr:nvSpPr>
            <xdr:cNvPr id="0" name=""/>
            <xdr:cNvSpPr>
              <a:spLocks noTextEdit="1"/>
            </xdr:cNvSpPr>
          </xdr:nvSpPr>
          <xdr:spPr>
            <a:xfrm>
              <a:off x="10007744" y="3114026"/>
              <a:ext cx="1809317" cy="6223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614795</xdr:colOff>
      <xdr:row>38</xdr:row>
      <xdr:rowOff>173182</xdr:rowOff>
    </xdr:from>
    <xdr:to>
      <xdr:col>21</xdr:col>
      <xdr:colOff>441613</xdr:colOff>
      <xdr:row>51</xdr:row>
      <xdr:rowOff>164522</xdr:rowOff>
    </xdr:to>
    <xdr:graphicFrame macro="">
      <xdr:nvGraphicFramePr>
        <xdr:cNvPr id="27" name="Chart 26">
          <a:extLst>
            <a:ext uri="{FF2B5EF4-FFF2-40B4-BE49-F238E27FC236}">
              <a16:creationId xmlns:a16="http://schemas.microsoft.com/office/drawing/2014/main" id="{1B9EE10B-F793-4CB9-8C5C-CDF3652EAD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shab Singh" refreshedDate="45776.953500347219" createdVersion="8" refreshedVersion="8" minRefreshableVersion="3" recordCount="99" xr:uid="{429E0603-07EA-4804-AB98-02AB7F79C559}">
  <cacheSource type="worksheet">
    <worksheetSource name="Table1"/>
  </cacheSource>
  <cacheFields count="12">
    <cacheField name="Gender" numFmtId="0">
      <sharedItems count="2">
        <s v="Male"/>
        <s v="Female"/>
      </sharedItems>
    </cacheField>
    <cacheField name="Age" numFmtId="0">
      <sharedItems containsSemiMixedTypes="0" containsString="0" containsNumber="1" containsInteger="1" minValue="18" maxValue="56" count="21">
        <n v="19"/>
        <n v="24"/>
        <n v="22"/>
        <n v="25"/>
        <n v="27"/>
        <n v="28"/>
        <n v="35"/>
        <n v="56"/>
        <n v="23"/>
        <n v="31"/>
        <n v="26"/>
        <n v="20"/>
        <n v="18"/>
        <n v="48"/>
        <n v="21"/>
        <n v="30"/>
        <n v="45"/>
        <n v="29"/>
        <n v="36"/>
        <n v="37"/>
        <n v="32"/>
      </sharedItems>
      <fieldGroup base="1">
        <rangePr startNum="18" endNum="56" groupInterval="10"/>
        <groupItems count="6">
          <s v="&lt;18"/>
          <s v="18-27"/>
          <s v="28-37"/>
          <s v="38-47"/>
          <s v="48-57"/>
          <s v="&gt;58"/>
        </groupItems>
      </fieldGroup>
    </cacheField>
    <cacheField name="Working professional" numFmtId="0">
      <sharedItems count="2">
        <s v="Not Working"/>
        <s v="Professional"/>
      </sharedItems>
    </cacheField>
    <cacheField name="Annual income" numFmtId="0">
      <sharedItems containsSemiMixedTypes="0" containsString="0" containsNumber="1" containsInteger="1" minValue="0" maxValue="600000" count="16">
        <n v="0"/>
        <n v="400000"/>
        <n v="150000"/>
        <n v="250000"/>
        <n v="384000"/>
        <n v="500000"/>
        <n v="300000"/>
        <n v="200000"/>
        <n v="360000"/>
        <n v="120000"/>
        <n v="80"/>
        <n v="180000"/>
        <n v="280000"/>
        <n v="350000"/>
        <n v="600000"/>
        <n v="260000"/>
      </sharedItems>
      <fieldGroup base="3">
        <rangePr startNum="0" endNum="600000" groupInterval="100000"/>
        <groupItems count="8">
          <s v="&lt;0"/>
          <s v="0-99999"/>
          <s v="100000-199999"/>
          <s v="200000-299999"/>
          <s v="300000-399999"/>
          <s v="400000-499999"/>
          <s v="500000-600000"/>
          <s v="&gt;600000"/>
        </groupItems>
      </fieldGroup>
    </cacheField>
    <cacheField name="Investment" numFmtId="0">
      <sharedItems count="9">
        <s v="Banking"/>
        <s v="Stocks"/>
        <s v="Mutual Funds"/>
        <s v="Crypto currency"/>
        <s v="Not prepared"/>
        <s v="Commodities"/>
        <s v="Marketing"/>
        <s v="Real estate"/>
        <s v="Chit fund"/>
      </sharedItems>
    </cacheField>
    <cacheField name="investment type" numFmtId="0">
      <sharedItems count="9">
        <s v="RD, FD"/>
        <s v="Intraday, long term"/>
        <s v="Bonds"/>
        <s v="Digital Currency"/>
        <s v="Not Prepared"/>
        <s v="Gold or Silver"/>
        <s v="Digital Advertising"/>
        <s v="Lands"/>
        <s v="others"/>
      </sharedItems>
    </cacheField>
    <cacheField name="Investment per month" numFmtId="0">
      <sharedItems containsSemiMixedTypes="0" containsString="0" containsNumber="1" containsInteger="1" minValue="0" maxValue="30000"/>
    </cacheField>
    <cacheField name="Motivation cause" numFmtId="0">
      <sharedItems count="11">
        <s v="Family member"/>
        <s v="Social Media"/>
        <s v="Agents or Brokers"/>
        <s v="Self Interest "/>
        <s v="No one"/>
        <s v="Friends"/>
        <s v="Self"/>
        <s v="Through Bank"/>
        <s v="Self motivation "/>
        <s v="Self "/>
        <s v="Schemes"/>
      </sharedItems>
    </cacheField>
    <cacheField name="Resources used" numFmtId="0">
      <sharedItems count="6">
        <s v="Family members/Friends"/>
        <s v="Mobile applications"/>
        <s v="News Article"/>
        <s v="Books"/>
        <s v="Brokers"/>
        <s v="Investors in bank"/>
      </sharedItems>
    </cacheField>
    <cacheField name="Goal for investment" numFmtId="0">
      <sharedItems count="8">
        <s v="Wealth generation"/>
        <s v="Financial Freedom"/>
        <s v="Personal Savings"/>
        <s v="Children Education"/>
        <s v="Marriage"/>
        <s v="Construction of own House"/>
        <s v="All the above "/>
        <s v="Tax saving"/>
      </sharedItems>
    </cacheField>
    <cacheField name="Duration to save (in Years) " numFmtId="0">
      <sharedItems containsSemiMixedTypes="0" containsString="0" containsNumber="1" containsInteger="1" minValue="1" maxValue="25"/>
    </cacheField>
    <cacheField name="Total Investment" numFmtId="0">
      <sharedItems containsSemiMixedTypes="0" containsString="0" containsNumber="1" containsInteger="1" minValue="0" maxValue="1500000"/>
    </cacheField>
  </cacheFields>
  <extLst>
    <ext xmlns:x14="http://schemas.microsoft.com/office/spreadsheetml/2009/9/main" uri="{725AE2AE-9491-48be-B2B4-4EB974FC3084}">
      <x14:pivotCacheDefinition pivotCacheId="1863482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
  <r>
    <x v="0"/>
    <x v="0"/>
    <x v="0"/>
    <x v="0"/>
    <x v="0"/>
    <x v="0"/>
    <n v="200"/>
    <x v="0"/>
    <x v="0"/>
    <x v="0"/>
    <n v="10"/>
    <n v="24000"/>
  </r>
  <r>
    <x v="1"/>
    <x v="1"/>
    <x v="0"/>
    <x v="0"/>
    <x v="0"/>
    <x v="0"/>
    <n v="1000"/>
    <x v="1"/>
    <x v="1"/>
    <x v="0"/>
    <n v="3"/>
    <n v="36000"/>
  </r>
  <r>
    <x v="0"/>
    <x v="1"/>
    <x v="1"/>
    <x v="1"/>
    <x v="1"/>
    <x v="1"/>
    <n v="5000"/>
    <x v="1"/>
    <x v="2"/>
    <x v="1"/>
    <n v="10"/>
    <n v="600000"/>
  </r>
  <r>
    <x v="0"/>
    <x v="2"/>
    <x v="1"/>
    <x v="2"/>
    <x v="2"/>
    <x v="2"/>
    <n v="2000"/>
    <x v="2"/>
    <x v="2"/>
    <x v="0"/>
    <n v="10"/>
    <n v="240000"/>
  </r>
  <r>
    <x v="0"/>
    <x v="3"/>
    <x v="1"/>
    <x v="3"/>
    <x v="2"/>
    <x v="2"/>
    <n v="2000"/>
    <x v="3"/>
    <x v="3"/>
    <x v="0"/>
    <n v="15"/>
    <n v="360000"/>
  </r>
  <r>
    <x v="0"/>
    <x v="4"/>
    <x v="1"/>
    <x v="4"/>
    <x v="3"/>
    <x v="3"/>
    <n v="3000"/>
    <x v="1"/>
    <x v="2"/>
    <x v="0"/>
    <n v="5"/>
    <n v="180000"/>
  </r>
  <r>
    <x v="0"/>
    <x v="1"/>
    <x v="1"/>
    <x v="2"/>
    <x v="4"/>
    <x v="4"/>
    <n v="2000"/>
    <x v="4"/>
    <x v="0"/>
    <x v="1"/>
    <n v="15"/>
    <n v="360000"/>
  </r>
  <r>
    <x v="1"/>
    <x v="2"/>
    <x v="0"/>
    <x v="0"/>
    <x v="5"/>
    <x v="5"/>
    <n v="500"/>
    <x v="0"/>
    <x v="0"/>
    <x v="2"/>
    <n v="10"/>
    <n v="60000"/>
  </r>
  <r>
    <x v="1"/>
    <x v="3"/>
    <x v="0"/>
    <x v="0"/>
    <x v="0"/>
    <x v="0"/>
    <n v="2000"/>
    <x v="0"/>
    <x v="0"/>
    <x v="2"/>
    <n v="5"/>
    <n v="120000"/>
  </r>
  <r>
    <x v="0"/>
    <x v="5"/>
    <x v="1"/>
    <x v="5"/>
    <x v="1"/>
    <x v="1"/>
    <n v="5000"/>
    <x v="5"/>
    <x v="1"/>
    <x v="0"/>
    <n v="10"/>
    <n v="600000"/>
  </r>
  <r>
    <x v="1"/>
    <x v="6"/>
    <x v="0"/>
    <x v="0"/>
    <x v="0"/>
    <x v="0"/>
    <n v="2000"/>
    <x v="0"/>
    <x v="0"/>
    <x v="3"/>
    <n v="10"/>
    <n v="240000"/>
  </r>
  <r>
    <x v="1"/>
    <x v="5"/>
    <x v="1"/>
    <x v="6"/>
    <x v="5"/>
    <x v="5"/>
    <n v="5000"/>
    <x v="6"/>
    <x v="0"/>
    <x v="4"/>
    <n v="3"/>
    <n v="180000"/>
  </r>
  <r>
    <x v="0"/>
    <x v="7"/>
    <x v="1"/>
    <x v="7"/>
    <x v="2"/>
    <x v="2"/>
    <n v="1000"/>
    <x v="7"/>
    <x v="2"/>
    <x v="1"/>
    <n v="4"/>
    <n v="48000"/>
  </r>
  <r>
    <x v="0"/>
    <x v="8"/>
    <x v="0"/>
    <x v="0"/>
    <x v="1"/>
    <x v="1"/>
    <n v="500"/>
    <x v="5"/>
    <x v="1"/>
    <x v="5"/>
    <n v="15"/>
    <n v="90000"/>
  </r>
  <r>
    <x v="1"/>
    <x v="0"/>
    <x v="0"/>
    <x v="0"/>
    <x v="0"/>
    <x v="0"/>
    <n v="1000"/>
    <x v="7"/>
    <x v="3"/>
    <x v="2"/>
    <n v="10"/>
    <n v="120000"/>
  </r>
  <r>
    <x v="0"/>
    <x v="9"/>
    <x v="1"/>
    <x v="7"/>
    <x v="1"/>
    <x v="1"/>
    <n v="1000"/>
    <x v="1"/>
    <x v="1"/>
    <x v="2"/>
    <n v="5"/>
    <n v="60000"/>
  </r>
  <r>
    <x v="0"/>
    <x v="10"/>
    <x v="0"/>
    <x v="0"/>
    <x v="0"/>
    <x v="0"/>
    <n v="500"/>
    <x v="6"/>
    <x v="2"/>
    <x v="0"/>
    <n v="4"/>
    <n v="24000"/>
  </r>
  <r>
    <x v="0"/>
    <x v="5"/>
    <x v="1"/>
    <x v="6"/>
    <x v="2"/>
    <x v="2"/>
    <n v="2500"/>
    <x v="7"/>
    <x v="0"/>
    <x v="0"/>
    <n v="8"/>
    <n v="240000"/>
  </r>
  <r>
    <x v="1"/>
    <x v="10"/>
    <x v="1"/>
    <x v="2"/>
    <x v="0"/>
    <x v="0"/>
    <n v="1500"/>
    <x v="0"/>
    <x v="0"/>
    <x v="4"/>
    <n v="3"/>
    <n v="54000"/>
  </r>
  <r>
    <x v="0"/>
    <x v="11"/>
    <x v="0"/>
    <x v="0"/>
    <x v="0"/>
    <x v="0"/>
    <n v="5000"/>
    <x v="7"/>
    <x v="3"/>
    <x v="2"/>
    <n v="1"/>
    <n v="60000"/>
  </r>
  <r>
    <x v="0"/>
    <x v="12"/>
    <x v="0"/>
    <x v="8"/>
    <x v="3"/>
    <x v="3"/>
    <n v="30000"/>
    <x v="5"/>
    <x v="0"/>
    <x v="3"/>
    <n v="2"/>
    <n v="720000"/>
  </r>
  <r>
    <x v="0"/>
    <x v="8"/>
    <x v="1"/>
    <x v="0"/>
    <x v="1"/>
    <x v="1"/>
    <n v="10"/>
    <x v="1"/>
    <x v="3"/>
    <x v="3"/>
    <n v="10"/>
    <n v="1200"/>
  </r>
  <r>
    <x v="0"/>
    <x v="2"/>
    <x v="0"/>
    <x v="0"/>
    <x v="1"/>
    <x v="1"/>
    <n v="100"/>
    <x v="5"/>
    <x v="1"/>
    <x v="5"/>
    <n v="10"/>
    <n v="12000"/>
  </r>
  <r>
    <x v="0"/>
    <x v="12"/>
    <x v="0"/>
    <x v="0"/>
    <x v="0"/>
    <x v="0"/>
    <n v="5000"/>
    <x v="7"/>
    <x v="0"/>
    <x v="1"/>
    <n v="25"/>
    <n v="1500000"/>
  </r>
  <r>
    <x v="0"/>
    <x v="11"/>
    <x v="0"/>
    <x v="0"/>
    <x v="1"/>
    <x v="1"/>
    <n v="0"/>
    <x v="0"/>
    <x v="0"/>
    <x v="2"/>
    <n v="2"/>
    <n v="0"/>
  </r>
  <r>
    <x v="0"/>
    <x v="5"/>
    <x v="1"/>
    <x v="3"/>
    <x v="1"/>
    <x v="1"/>
    <n v="1500"/>
    <x v="5"/>
    <x v="1"/>
    <x v="0"/>
    <n v="4"/>
    <n v="72000"/>
  </r>
  <r>
    <x v="0"/>
    <x v="8"/>
    <x v="0"/>
    <x v="0"/>
    <x v="1"/>
    <x v="1"/>
    <n v="10000"/>
    <x v="5"/>
    <x v="2"/>
    <x v="0"/>
    <n v="5"/>
    <n v="600000"/>
  </r>
  <r>
    <x v="1"/>
    <x v="5"/>
    <x v="1"/>
    <x v="9"/>
    <x v="2"/>
    <x v="2"/>
    <n v="1000"/>
    <x v="2"/>
    <x v="0"/>
    <x v="3"/>
    <n v="5"/>
    <n v="60000"/>
  </r>
  <r>
    <x v="0"/>
    <x v="13"/>
    <x v="0"/>
    <x v="0"/>
    <x v="0"/>
    <x v="0"/>
    <n v="1000"/>
    <x v="5"/>
    <x v="0"/>
    <x v="2"/>
    <n v="5"/>
    <n v="60000"/>
  </r>
  <r>
    <x v="0"/>
    <x v="8"/>
    <x v="0"/>
    <x v="0"/>
    <x v="1"/>
    <x v="1"/>
    <n v="20000"/>
    <x v="5"/>
    <x v="0"/>
    <x v="2"/>
    <n v="2"/>
    <n v="480000"/>
  </r>
  <r>
    <x v="1"/>
    <x v="8"/>
    <x v="0"/>
    <x v="0"/>
    <x v="6"/>
    <x v="6"/>
    <n v="5000"/>
    <x v="5"/>
    <x v="0"/>
    <x v="1"/>
    <n v="2"/>
    <n v="120000"/>
  </r>
  <r>
    <x v="1"/>
    <x v="8"/>
    <x v="1"/>
    <x v="2"/>
    <x v="5"/>
    <x v="5"/>
    <n v="2000"/>
    <x v="0"/>
    <x v="0"/>
    <x v="4"/>
    <n v="4"/>
    <n v="96000"/>
  </r>
  <r>
    <x v="1"/>
    <x v="10"/>
    <x v="1"/>
    <x v="6"/>
    <x v="2"/>
    <x v="2"/>
    <n v="2000"/>
    <x v="2"/>
    <x v="1"/>
    <x v="0"/>
    <n v="10"/>
    <n v="240000"/>
  </r>
  <r>
    <x v="1"/>
    <x v="1"/>
    <x v="1"/>
    <x v="7"/>
    <x v="7"/>
    <x v="7"/>
    <n v="3000"/>
    <x v="0"/>
    <x v="0"/>
    <x v="5"/>
    <n v="10"/>
    <n v="360000"/>
  </r>
  <r>
    <x v="0"/>
    <x v="11"/>
    <x v="0"/>
    <x v="0"/>
    <x v="0"/>
    <x v="0"/>
    <n v="2000"/>
    <x v="0"/>
    <x v="0"/>
    <x v="2"/>
    <n v="6"/>
    <n v="144000"/>
  </r>
  <r>
    <x v="0"/>
    <x v="0"/>
    <x v="0"/>
    <x v="0"/>
    <x v="1"/>
    <x v="1"/>
    <n v="5000"/>
    <x v="1"/>
    <x v="1"/>
    <x v="2"/>
    <n v="5"/>
    <n v="300000"/>
  </r>
  <r>
    <x v="0"/>
    <x v="11"/>
    <x v="0"/>
    <x v="10"/>
    <x v="1"/>
    <x v="1"/>
    <n v="1000"/>
    <x v="5"/>
    <x v="0"/>
    <x v="2"/>
    <n v="5"/>
    <n v="60000"/>
  </r>
  <r>
    <x v="0"/>
    <x v="2"/>
    <x v="0"/>
    <x v="0"/>
    <x v="5"/>
    <x v="5"/>
    <n v="2000"/>
    <x v="5"/>
    <x v="0"/>
    <x v="6"/>
    <n v="3"/>
    <n v="72000"/>
  </r>
  <r>
    <x v="0"/>
    <x v="14"/>
    <x v="1"/>
    <x v="9"/>
    <x v="2"/>
    <x v="2"/>
    <n v="3000"/>
    <x v="2"/>
    <x v="0"/>
    <x v="5"/>
    <n v="10"/>
    <n v="360000"/>
  </r>
  <r>
    <x v="1"/>
    <x v="15"/>
    <x v="1"/>
    <x v="11"/>
    <x v="2"/>
    <x v="2"/>
    <n v="3000"/>
    <x v="0"/>
    <x v="0"/>
    <x v="2"/>
    <n v="10"/>
    <n v="360000"/>
  </r>
  <r>
    <x v="1"/>
    <x v="16"/>
    <x v="1"/>
    <x v="7"/>
    <x v="2"/>
    <x v="2"/>
    <n v="2000"/>
    <x v="6"/>
    <x v="3"/>
    <x v="0"/>
    <n v="20"/>
    <n v="480000"/>
  </r>
  <r>
    <x v="0"/>
    <x v="14"/>
    <x v="0"/>
    <x v="0"/>
    <x v="2"/>
    <x v="2"/>
    <n v="10000"/>
    <x v="0"/>
    <x v="1"/>
    <x v="2"/>
    <n v="10"/>
    <n v="1200000"/>
  </r>
  <r>
    <x v="0"/>
    <x v="14"/>
    <x v="0"/>
    <x v="0"/>
    <x v="1"/>
    <x v="1"/>
    <n v="1000"/>
    <x v="5"/>
    <x v="0"/>
    <x v="1"/>
    <n v="1"/>
    <n v="12000"/>
  </r>
  <r>
    <x v="1"/>
    <x v="2"/>
    <x v="0"/>
    <x v="0"/>
    <x v="0"/>
    <x v="0"/>
    <n v="2000"/>
    <x v="0"/>
    <x v="0"/>
    <x v="2"/>
    <n v="10"/>
    <n v="240000"/>
  </r>
  <r>
    <x v="0"/>
    <x v="1"/>
    <x v="1"/>
    <x v="7"/>
    <x v="1"/>
    <x v="1"/>
    <n v="1000"/>
    <x v="5"/>
    <x v="1"/>
    <x v="2"/>
    <n v="10"/>
    <n v="120000"/>
  </r>
  <r>
    <x v="1"/>
    <x v="2"/>
    <x v="0"/>
    <x v="0"/>
    <x v="0"/>
    <x v="0"/>
    <n v="500"/>
    <x v="0"/>
    <x v="0"/>
    <x v="2"/>
    <n v="6"/>
    <n v="36000"/>
  </r>
  <r>
    <x v="0"/>
    <x v="1"/>
    <x v="0"/>
    <x v="0"/>
    <x v="1"/>
    <x v="1"/>
    <n v="1000"/>
    <x v="1"/>
    <x v="3"/>
    <x v="0"/>
    <n v="7"/>
    <n v="84000"/>
  </r>
  <r>
    <x v="1"/>
    <x v="17"/>
    <x v="1"/>
    <x v="12"/>
    <x v="5"/>
    <x v="5"/>
    <n v="4000"/>
    <x v="0"/>
    <x v="0"/>
    <x v="2"/>
    <n v="4"/>
    <n v="192000"/>
  </r>
  <r>
    <x v="0"/>
    <x v="10"/>
    <x v="1"/>
    <x v="13"/>
    <x v="2"/>
    <x v="2"/>
    <n v="3000"/>
    <x v="8"/>
    <x v="2"/>
    <x v="7"/>
    <n v="10"/>
    <n v="360000"/>
  </r>
  <r>
    <x v="0"/>
    <x v="2"/>
    <x v="0"/>
    <x v="0"/>
    <x v="1"/>
    <x v="1"/>
    <n v="2000"/>
    <x v="5"/>
    <x v="1"/>
    <x v="2"/>
    <n v="6"/>
    <n v="144000"/>
  </r>
  <r>
    <x v="1"/>
    <x v="4"/>
    <x v="1"/>
    <x v="1"/>
    <x v="2"/>
    <x v="2"/>
    <n v="5000"/>
    <x v="1"/>
    <x v="1"/>
    <x v="7"/>
    <n v="8"/>
    <n v="480000"/>
  </r>
  <r>
    <x v="0"/>
    <x v="1"/>
    <x v="1"/>
    <x v="3"/>
    <x v="1"/>
    <x v="1"/>
    <n v="2000"/>
    <x v="5"/>
    <x v="0"/>
    <x v="4"/>
    <n v="6"/>
    <n v="144000"/>
  </r>
  <r>
    <x v="0"/>
    <x v="3"/>
    <x v="1"/>
    <x v="1"/>
    <x v="2"/>
    <x v="2"/>
    <n v="2500"/>
    <x v="7"/>
    <x v="0"/>
    <x v="5"/>
    <n v="10"/>
    <n v="300000"/>
  </r>
  <r>
    <x v="1"/>
    <x v="2"/>
    <x v="0"/>
    <x v="0"/>
    <x v="1"/>
    <x v="1"/>
    <n v="500"/>
    <x v="5"/>
    <x v="3"/>
    <x v="4"/>
    <n v="5"/>
    <n v="30000"/>
  </r>
  <r>
    <x v="0"/>
    <x v="10"/>
    <x v="1"/>
    <x v="1"/>
    <x v="7"/>
    <x v="7"/>
    <n v="4500"/>
    <x v="9"/>
    <x v="0"/>
    <x v="0"/>
    <n v="10"/>
    <n v="540000"/>
  </r>
  <r>
    <x v="0"/>
    <x v="14"/>
    <x v="0"/>
    <x v="0"/>
    <x v="3"/>
    <x v="3"/>
    <n v="0"/>
    <x v="1"/>
    <x v="1"/>
    <x v="5"/>
    <n v="15"/>
    <n v="0"/>
  </r>
  <r>
    <x v="0"/>
    <x v="5"/>
    <x v="1"/>
    <x v="13"/>
    <x v="2"/>
    <x v="2"/>
    <n v="5000"/>
    <x v="7"/>
    <x v="0"/>
    <x v="3"/>
    <n v="15"/>
    <n v="900000"/>
  </r>
  <r>
    <x v="1"/>
    <x v="1"/>
    <x v="1"/>
    <x v="7"/>
    <x v="1"/>
    <x v="1"/>
    <n v="1000"/>
    <x v="5"/>
    <x v="1"/>
    <x v="1"/>
    <n v="15"/>
    <n v="180000"/>
  </r>
  <r>
    <x v="0"/>
    <x v="3"/>
    <x v="1"/>
    <x v="13"/>
    <x v="5"/>
    <x v="5"/>
    <n v="2500"/>
    <x v="0"/>
    <x v="0"/>
    <x v="7"/>
    <n v="4"/>
    <n v="120000"/>
  </r>
  <r>
    <x v="0"/>
    <x v="10"/>
    <x v="1"/>
    <x v="1"/>
    <x v="2"/>
    <x v="2"/>
    <n v="2500"/>
    <x v="2"/>
    <x v="2"/>
    <x v="4"/>
    <n v="10"/>
    <n v="300000"/>
  </r>
  <r>
    <x v="1"/>
    <x v="12"/>
    <x v="0"/>
    <x v="0"/>
    <x v="0"/>
    <x v="0"/>
    <n v="200"/>
    <x v="0"/>
    <x v="0"/>
    <x v="2"/>
    <n v="5"/>
    <n v="12000"/>
  </r>
  <r>
    <x v="0"/>
    <x v="4"/>
    <x v="1"/>
    <x v="1"/>
    <x v="1"/>
    <x v="1"/>
    <n v="1000"/>
    <x v="1"/>
    <x v="1"/>
    <x v="0"/>
    <n v="8"/>
    <n v="96000"/>
  </r>
  <r>
    <x v="0"/>
    <x v="4"/>
    <x v="1"/>
    <x v="3"/>
    <x v="1"/>
    <x v="1"/>
    <n v="1500"/>
    <x v="5"/>
    <x v="1"/>
    <x v="5"/>
    <n v="5"/>
    <n v="90000"/>
  </r>
  <r>
    <x v="1"/>
    <x v="8"/>
    <x v="1"/>
    <x v="2"/>
    <x v="1"/>
    <x v="1"/>
    <n v="1000"/>
    <x v="0"/>
    <x v="0"/>
    <x v="2"/>
    <n v="7"/>
    <n v="84000"/>
  </r>
  <r>
    <x v="0"/>
    <x v="18"/>
    <x v="1"/>
    <x v="14"/>
    <x v="7"/>
    <x v="7"/>
    <n v="8500"/>
    <x v="5"/>
    <x v="2"/>
    <x v="7"/>
    <n v="10"/>
    <n v="1020000"/>
  </r>
  <r>
    <x v="1"/>
    <x v="17"/>
    <x v="0"/>
    <x v="0"/>
    <x v="8"/>
    <x v="8"/>
    <n v="1000"/>
    <x v="0"/>
    <x v="0"/>
    <x v="2"/>
    <n v="1"/>
    <n v="12000"/>
  </r>
  <r>
    <x v="0"/>
    <x v="5"/>
    <x v="1"/>
    <x v="1"/>
    <x v="1"/>
    <x v="1"/>
    <n v="1200"/>
    <x v="1"/>
    <x v="1"/>
    <x v="1"/>
    <n v="15"/>
    <n v="216000"/>
  </r>
  <r>
    <x v="0"/>
    <x v="8"/>
    <x v="1"/>
    <x v="2"/>
    <x v="2"/>
    <x v="2"/>
    <n v="500"/>
    <x v="2"/>
    <x v="4"/>
    <x v="0"/>
    <n v="8"/>
    <n v="48000"/>
  </r>
  <r>
    <x v="1"/>
    <x v="4"/>
    <x v="1"/>
    <x v="13"/>
    <x v="0"/>
    <x v="0"/>
    <n v="2500"/>
    <x v="0"/>
    <x v="0"/>
    <x v="3"/>
    <n v="10"/>
    <n v="300000"/>
  </r>
  <r>
    <x v="0"/>
    <x v="17"/>
    <x v="1"/>
    <x v="1"/>
    <x v="2"/>
    <x v="2"/>
    <n v="3000"/>
    <x v="5"/>
    <x v="3"/>
    <x v="3"/>
    <n v="10"/>
    <n v="360000"/>
  </r>
  <r>
    <x v="1"/>
    <x v="3"/>
    <x v="1"/>
    <x v="1"/>
    <x v="2"/>
    <x v="2"/>
    <n v="3000"/>
    <x v="7"/>
    <x v="1"/>
    <x v="0"/>
    <n v="8"/>
    <n v="288000"/>
  </r>
  <r>
    <x v="0"/>
    <x v="6"/>
    <x v="1"/>
    <x v="6"/>
    <x v="0"/>
    <x v="0"/>
    <n v="2000"/>
    <x v="7"/>
    <x v="1"/>
    <x v="1"/>
    <n v="10"/>
    <n v="240000"/>
  </r>
  <r>
    <x v="0"/>
    <x v="19"/>
    <x v="1"/>
    <x v="1"/>
    <x v="0"/>
    <x v="0"/>
    <n v="5000"/>
    <x v="2"/>
    <x v="2"/>
    <x v="7"/>
    <n v="21"/>
    <n v="1260000"/>
  </r>
  <r>
    <x v="1"/>
    <x v="8"/>
    <x v="1"/>
    <x v="1"/>
    <x v="0"/>
    <x v="0"/>
    <n v="15000"/>
    <x v="0"/>
    <x v="0"/>
    <x v="2"/>
    <n v="2"/>
    <n v="360000"/>
  </r>
  <r>
    <x v="0"/>
    <x v="12"/>
    <x v="0"/>
    <x v="0"/>
    <x v="3"/>
    <x v="3"/>
    <n v="5000"/>
    <x v="1"/>
    <x v="1"/>
    <x v="5"/>
    <n v="5"/>
    <n v="300000"/>
  </r>
  <r>
    <x v="0"/>
    <x v="11"/>
    <x v="0"/>
    <x v="0"/>
    <x v="2"/>
    <x v="2"/>
    <n v="600"/>
    <x v="5"/>
    <x v="3"/>
    <x v="3"/>
    <n v="15"/>
    <n v="108000"/>
  </r>
  <r>
    <x v="1"/>
    <x v="1"/>
    <x v="0"/>
    <x v="0"/>
    <x v="5"/>
    <x v="5"/>
    <n v="500"/>
    <x v="7"/>
    <x v="0"/>
    <x v="0"/>
    <n v="7"/>
    <n v="42000"/>
  </r>
  <r>
    <x v="1"/>
    <x v="10"/>
    <x v="1"/>
    <x v="13"/>
    <x v="5"/>
    <x v="5"/>
    <n v="2500"/>
    <x v="10"/>
    <x v="0"/>
    <x v="2"/>
    <n v="5"/>
    <n v="150000"/>
  </r>
  <r>
    <x v="1"/>
    <x v="4"/>
    <x v="0"/>
    <x v="0"/>
    <x v="5"/>
    <x v="5"/>
    <n v="1500"/>
    <x v="0"/>
    <x v="0"/>
    <x v="0"/>
    <n v="6"/>
    <n v="108000"/>
  </r>
  <r>
    <x v="0"/>
    <x v="3"/>
    <x v="1"/>
    <x v="7"/>
    <x v="2"/>
    <x v="2"/>
    <n v="1000"/>
    <x v="5"/>
    <x v="0"/>
    <x v="0"/>
    <n v="10"/>
    <n v="120000"/>
  </r>
  <r>
    <x v="1"/>
    <x v="20"/>
    <x v="1"/>
    <x v="6"/>
    <x v="0"/>
    <x v="0"/>
    <n v="5000"/>
    <x v="7"/>
    <x v="5"/>
    <x v="1"/>
    <n v="15"/>
    <n v="900000"/>
  </r>
  <r>
    <x v="0"/>
    <x v="10"/>
    <x v="1"/>
    <x v="3"/>
    <x v="1"/>
    <x v="1"/>
    <n v="1500"/>
    <x v="1"/>
    <x v="1"/>
    <x v="7"/>
    <n v="5"/>
    <n v="90000"/>
  </r>
  <r>
    <x v="0"/>
    <x v="3"/>
    <x v="1"/>
    <x v="6"/>
    <x v="2"/>
    <x v="2"/>
    <n v="5000"/>
    <x v="6"/>
    <x v="0"/>
    <x v="0"/>
    <n v="10"/>
    <n v="600000"/>
  </r>
  <r>
    <x v="0"/>
    <x v="1"/>
    <x v="0"/>
    <x v="0"/>
    <x v="1"/>
    <x v="1"/>
    <n v="500"/>
    <x v="5"/>
    <x v="1"/>
    <x v="0"/>
    <n v="5"/>
    <n v="30000"/>
  </r>
  <r>
    <x v="1"/>
    <x v="14"/>
    <x v="0"/>
    <x v="0"/>
    <x v="0"/>
    <x v="0"/>
    <n v="500"/>
    <x v="0"/>
    <x v="0"/>
    <x v="2"/>
    <n v="5"/>
    <n v="30000"/>
  </r>
  <r>
    <x v="0"/>
    <x v="5"/>
    <x v="1"/>
    <x v="13"/>
    <x v="5"/>
    <x v="5"/>
    <n v="1500"/>
    <x v="2"/>
    <x v="0"/>
    <x v="4"/>
    <n v="5"/>
    <n v="90000"/>
  </r>
  <r>
    <x v="0"/>
    <x v="10"/>
    <x v="1"/>
    <x v="3"/>
    <x v="1"/>
    <x v="1"/>
    <n v="1000"/>
    <x v="1"/>
    <x v="1"/>
    <x v="0"/>
    <n v="10"/>
    <n v="120000"/>
  </r>
  <r>
    <x v="0"/>
    <x v="4"/>
    <x v="1"/>
    <x v="1"/>
    <x v="7"/>
    <x v="7"/>
    <n v="8500"/>
    <x v="2"/>
    <x v="0"/>
    <x v="5"/>
    <n v="5"/>
    <n v="510000"/>
  </r>
  <r>
    <x v="1"/>
    <x v="1"/>
    <x v="0"/>
    <x v="0"/>
    <x v="0"/>
    <x v="0"/>
    <n v="1000"/>
    <x v="0"/>
    <x v="0"/>
    <x v="2"/>
    <n v="8"/>
    <n v="96000"/>
  </r>
  <r>
    <x v="1"/>
    <x v="10"/>
    <x v="1"/>
    <x v="3"/>
    <x v="2"/>
    <x v="2"/>
    <n v="2500"/>
    <x v="7"/>
    <x v="1"/>
    <x v="0"/>
    <n v="8"/>
    <n v="240000"/>
  </r>
  <r>
    <x v="0"/>
    <x v="14"/>
    <x v="1"/>
    <x v="9"/>
    <x v="1"/>
    <x v="1"/>
    <n v="500"/>
    <x v="5"/>
    <x v="2"/>
    <x v="0"/>
    <n v="5"/>
    <n v="30000"/>
  </r>
  <r>
    <x v="0"/>
    <x v="8"/>
    <x v="1"/>
    <x v="7"/>
    <x v="2"/>
    <x v="2"/>
    <n v="1500"/>
    <x v="1"/>
    <x v="2"/>
    <x v="1"/>
    <n v="9"/>
    <n v="162000"/>
  </r>
  <r>
    <x v="1"/>
    <x v="2"/>
    <x v="1"/>
    <x v="9"/>
    <x v="2"/>
    <x v="2"/>
    <n v="1500"/>
    <x v="1"/>
    <x v="3"/>
    <x v="0"/>
    <n v="8"/>
    <n v="144000"/>
  </r>
  <r>
    <x v="0"/>
    <x v="3"/>
    <x v="1"/>
    <x v="15"/>
    <x v="5"/>
    <x v="5"/>
    <n v="2000"/>
    <x v="1"/>
    <x v="0"/>
    <x v="4"/>
    <n v="5"/>
    <n v="120000"/>
  </r>
  <r>
    <x v="0"/>
    <x v="2"/>
    <x v="0"/>
    <x v="0"/>
    <x v="1"/>
    <x v="1"/>
    <n v="500"/>
    <x v="1"/>
    <x v="1"/>
    <x v="0"/>
    <n v="10"/>
    <n v="60000"/>
  </r>
  <r>
    <x v="0"/>
    <x v="17"/>
    <x v="1"/>
    <x v="3"/>
    <x v="2"/>
    <x v="2"/>
    <n v="2000"/>
    <x v="7"/>
    <x v="2"/>
    <x v="2"/>
    <n v="2"/>
    <n v="48000"/>
  </r>
  <r>
    <x v="1"/>
    <x v="8"/>
    <x v="1"/>
    <x v="2"/>
    <x v="0"/>
    <x v="0"/>
    <n v="1000"/>
    <x v="0"/>
    <x v="0"/>
    <x v="5"/>
    <n v="10"/>
    <n v="120000"/>
  </r>
  <r>
    <x v="1"/>
    <x v="2"/>
    <x v="0"/>
    <x v="0"/>
    <x v="2"/>
    <x v="2"/>
    <n v="1000"/>
    <x v="7"/>
    <x v="1"/>
    <x v="0"/>
    <n v="6"/>
    <n v="72000"/>
  </r>
  <r>
    <x v="0"/>
    <x v="10"/>
    <x v="1"/>
    <x v="3"/>
    <x v="1"/>
    <x v="1"/>
    <n v="1500"/>
    <x v="2"/>
    <x v="0"/>
    <x v="1"/>
    <n v="10"/>
    <n v="18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8626A4-E8E8-4498-A83C-BE31643216ED}" name="PivotTable39" cacheId="51" applyNumberFormats="0" applyBorderFormats="0" applyFontFormats="0" applyPatternFormats="0" applyAlignmentFormats="0" applyWidthHeightFormats="1" dataCaption="Values" updatedVersion="8" minRefreshableVersion="3" useAutoFormatting="1" itemPrintTitles="1" createdVersion="8" indent="0" multipleFieldFilters="0" chartFormat="33" rowHeaderCaption="Resources Used" colHeaderCaption="Age group">
  <location ref="B140:G144" firstHeaderRow="1" firstDataRow="2" firstDataCol="1"/>
  <pivotFields count="12">
    <pivotField axis="axisRow" showAll="0">
      <items count="3">
        <item x="1"/>
        <item x="0"/>
        <item t="default"/>
      </items>
    </pivotField>
    <pivotField axis="axisCol" showAll="0">
      <items count="7">
        <item x="0"/>
        <item x="1"/>
        <item x="2"/>
        <item x="3"/>
        <item x="4"/>
        <item x="5"/>
        <item t="default"/>
      </items>
    </pivotField>
    <pivotField showAll="0">
      <items count="3">
        <item x="0"/>
        <item x="1"/>
        <item t="default"/>
      </items>
    </pivotField>
    <pivotField showAll="0">
      <items count="9">
        <item x="0"/>
        <item x="1"/>
        <item x="2"/>
        <item x="3"/>
        <item x="4"/>
        <item x="5"/>
        <item x="6"/>
        <item x="7"/>
        <item t="default"/>
      </items>
    </pivotField>
    <pivotField showAll="0"/>
    <pivotField showAll="0">
      <items count="10">
        <item x="2"/>
        <item x="6"/>
        <item x="3"/>
        <item x="5"/>
        <item x="1"/>
        <item x="7"/>
        <item x="4"/>
        <item x="8"/>
        <item x="0"/>
        <item t="default"/>
      </items>
    </pivotField>
    <pivotField dataField="1" showAll="0"/>
    <pivotField showAll="0"/>
    <pivotField showAll="0">
      <items count="7">
        <item x="3"/>
        <item x="4"/>
        <item x="0"/>
        <item x="5"/>
        <item x="1"/>
        <item x="2"/>
        <item t="default"/>
      </items>
    </pivotField>
    <pivotField showAll="0">
      <items count="9">
        <item x="6"/>
        <item x="3"/>
        <item x="5"/>
        <item x="1"/>
        <item x="4"/>
        <item x="2"/>
        <item x="7"/>
        <item x="0"/>
        <item t="default"/>
      </items>
    </pivotField>
    <pivotField showAll="0"/>
    <pivotField showAll="0"/>
  </pivotFields>
  <rowFields count="1">
    <field x="0"/>
  </rowFields>
  <rowItems count="3">
    <i>
      <x/>
    </i>
    <i>
      <x v="1"/>
    </i>
    <i t="grand">
      <x/>
    </i>
  </rowItems>
  <colFields count="1">
    <field x="1"/>
  </colFields>
  <colItems count="5">
    <i>
      <x v="1"/>
    </i>
    <i>
      <x v="2"/>
    </i>
    <i>
      <x v="3"/>
    </i>
    <i>
      <x v="4"/>
    </i>
    <i t="grand">
      <x/>
    </i>
  </colItems>
  <dataFields count="1">
    <dataField name="Average of Investment per month" fld="6" subtotal="average" baseField="0" baseItem="0" numFmtId="164"/>
  </dataFields>
  <formats count="1">
    <format dxfId="305">
      <pivotArea outline="0" collapsedLevelsAreSubtotals="1" fieldPosition="0"/>
    </format>
  </formats>
  <chartFormats count="8">
    <chartFormat chart="27" format="0" series="1">
      <pivotArea type="data" outline="0" fieldPosition="0">
        <references count="2">
          <reference field="4294967294" count="1" selected="0">
            <x v="0"/>
          </reference>
          <reference field="1" count="1" selected="0">
            <x v="1"/>
          </reference>
        </references>
      </pivotArea>
    </chartFormat>
    <chartFormat chart="27" format="1" series="1">
      <pivotArea type="data" outline="0" fieldPosition="0">
        <references count="2">
          <reference field="4294967294" count="1" selected="0">
            <x v="0"/>
          </reference>
          <reference field="1" count="1" selected="0">
            <x v="2"/>
          </reference>
        </references>
      </pivotArea>
    </chartFormat>
    <chartFormat chart="27" format="2" series="1">
      <pivotArea type="data" outline="0" fieldPosition="0">
        <references count="2">
          <reference field="4294967294" count="1" selected="0">
            <x v="0"/>
          </reference>
          <reference field="1" count="1" selected="0">
            <x v="3"/>
          </reference>
        </references>
      </pivotArea>
    </chartFormat>
    <chartFormat chart="27" format="3" series="1">
      <pivotArea type="data" outline="0" fieldPosition="0">
        <references count="2">
          <reference field="4294967294" count="1" selected="0">
            <x v="0"/>
          </reference>
          <reference field="1" count="1" selected="0">
            <x v="4"/>
          </reference>
        </references>
      </pivotArea>
    </chartFormat>
    <chartFormat chart="31" format="8" series="1">
      <pivotArea type="data" outline="0" fieldPosition="0">
        <references count="2">
          <reference field="4294967294" count="1" selected="0">
            <x v="0"/>
          </reference>
          <reference field="1" count="1" selected="0">
            <x v="1"/>
          </reference>
        </references>
      </pivotArea>
    </chartFormat>
    <chartFormat chart="31" format="9" series="1">
      <pivotArea type="data" outline="0" fieldPosition="0">
        <references count="2">
          <reference field="4294967294" count="1" selected="0">
            <x v="0"/>
          </reference>
          <reference field="1" count="1" selected="0">
            <x v="2"/>
          </reference>
        </references>
      </pivotArea>
    </chartFormat>
    <chartFormat chart="31" format="10" series="1">
      <pivotArea type="data" outline="0" fieldPosition="0">
        <references count="2">
          <reference field="4294967294" count="1" selected="0">
            <x v="0"/>
          </reference>
          <reference field="1" count="1" selected="0">
            <x v="3"/>
          </reference>
        </references>
      </pivotArea>
    </chartFormat>
    <chartFormat chart="31" format="11"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C2AF11-2490-4FD2-8F01-FABB8D0F8528}" name="PivotTable37" cacheId="51" applyNumberFormats="0" applyBorderFormats="0" applyFontFormats="0" applyPatternFormats="0" applyAlignmentFormats="0" applyWidthHeightFormats="1" dataCaption="Values" updatedVersion="8" minRefreshableVersion="3" useAutoFormatting="1" itemPrintTitles="1" createdVersion="8" indent="0" multipleFieldFilters="0" chartFormat="27" rowHeaderCaption="Resources Used" colHeaderCaption="Investment Type">
  <location ref="B114:L122" firstHeaderRow="1" firstDataRow="2" firstDataCol="1"/>
  <pivotFields count="12">
    <pivotField showAll="0">
      <items count="3">
        <item x="1"/>
        <item x="0"/>
        <item t="default"/>
      </items>
    </pivotField>
    <pivotField showAll="0">
      <items count="7">
        <item x="0"/>
        <item x="1"/>
        <item x="2"/>
        <item x="3"/>
        <item x="4"/>
        <item x="5"/>
        <item t="default"/>
      </items>
    </pivotField>
    <pivotField showAll="0">
      <items count="3">
        <item x="0"/>
        <item x="1"/>
        <item t="default"/>
      </items>
    </pivotField>
    <pivotField showAll="0">
      <items count="9">
        <item x="0"/>
        <item x="1"/>
        <item x="2"/>
        <item x="3"/>
        <item x="4"/>
        <item x="5"/>
        <item x="6"/>
        <item x="7"/>
        <item t="default"/>
      </items>
    </pivotField>
    <pivotField showAll="0"/>
    <pivotField axis="axisCol" showAll="0">
      <items count="10">
        <item x="2"/>
        <item x="6"/>
        <item x="3"/>
        <item x="5"/>
        <item x="1"/>
        <item x="7"/>
        <item x="4"/>
        <item x="8"/>
        <item x="0"/>
        <item t="default"/>
      </items>
    </pivotField>
    <pivotField showAll="0"/>
    <pivotField showAll="0"/>
    <pivotField axis="axisRow" showAll="0">
      <items count="7">
        <item x="3"/>
        <item x="4"/>
        <item x="0"/>
        <item x="5"/>
        <item x="1"/>
        <item x="2"/>
        <item t="default"/>
      </items>
    </pivotField>
    <pivotField showAll="0">
      <items count="9">
        <item x="6"/>
        <item x="3"/>
        <item x="5"/>
        <item x="1"/>
        <item x="4"/>
        <item x="2"/>
        <item x="7"/>
        <item x="0"/>
        <item t="default"/>
      </items>
    </pivotField>
    <pivotField showAll="0"/>
    <pivotField dataField="1" showAll="0"/>
  </pivotFields>
  <rowFields count="1">
    <field x="8"/>
  </rowFields>
  <rowItems count="7">
    <i>
      <x/>
    </i>
    <i>
      <x v="1"/>
    </i>
    <i>
      <x v="2"/>
    </i>
    <i>
      <x v="3"/>
    </i>
    <i>
      <x v="4"/>
    </i>
    <i>
      <x v="5"/>
    </i>
    <i t="grand">
      <x/>
    </i>
  </rowItems>
  <colFields count="1">
    <field x="5"/>
  </colFields>
  <colItems count="10">
    <i>
      <x/>
    </i>
    <i>
      <x v="1"/>
    </i>
    <i>
      <x v="2"/>
    </i>
    <i>
      <x v="3"/>
    </i>
    <i>
      <x v="4"/>
    </i>
    <i>
      <x v="5"/>
    </i>
    <i>
      <x v="6"/>
    </i>
    <i>
      <x v="7"/>
    </i>
    <i>
      <x v="8"/>
    </i>
    <i t="grand">
      <x/>
    </i>
  </colItems>
  <dataFields count="1">
    <dataField name="Total Investments" fld="11" baseField="8" baseItem="0"/>
  </dataFields>
  <formats count="1">
    <format dxfId="330">
      <pivotArea outline="0" collapsedLevelsAreSubtotals="1" fieldPosition="0"/>
    </format>
  </formats>
  <chartFormats count="9">
    <chartFormat chart="17"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2" format="8" series="1">
      <pivotArea type="data" outline="0" fieldPosition="0">
        <references count="1">
          <reference field="4294967294" count="1" selected="0">
            <x v="0"/>
          </reference>
        </references>
      </pivotArea>
    </chartFormat>
    <chartFormat chart="22" format="9">
      <pivotArea type="data" outline="0" fieldPosition="0">
        <references count="2">
          <reference field="4294967294" count="1" selected="0">
            <x v="0"/>
          </reference>
          <reference field="8" count="1" selected="0">
            <x v="0"/>
          </reference>
        </references>
      </pivotArea>
    </chartFormat>
    <chartFormat chart="22" format="10">
      <pivotArea type="data" outline="0" fieldPosition="0">
        <references count="2">
          <reference field="4294967294" count="1" selected="0">
            <x v="0"/>
          </reference>
          <reference field="8" count="1" selected="0">
            <x v="1"/>
          </reference>
        </references>
      </pivotArea>
    </chartFormat>
    <chartFormat chart="22" format="11">
      <pivotArea type="data" outline="0" fieldPosition="0">
        <references count="2">
          <reference field="4294967294" count="1" selected="0">
            <x v="0"/>
          </reference>
          <reference field="8" count="1" selected="0">
            <x v="2"/>
          </reference>
        </references>
      </pivotArea>
    </chartFormat>
    <chartFormat chart="22" format="12">
      <pivotArea type="data" outline="0" fieldPosition="0">
        <references count="2">
          <reference field="4294967294" count="1" selected="0">
            <x v="0"/>
          </reference>
          <reference field="8" count="1" selected="0">
            <x v="3"/>
          </reference>
        </references>
      </pivotArea>
    </chartFormat>
    <chartFormat chart="22" format="13">
      <pivotArea type="data" outline="0" fieldPosition="0">
        <references count="2">
          <reference field="4294967294" count="1" selected="0">
            <x v="0"/>
          </reference>
          <reference field="8" count="1" selected="0">
            <x v="4"/>
          </reference>
        </references>
      </pivotArea>
    </chartFormat>
    <chartFormat chart="22" format="14">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3CDF9F-4A92-49C0-A97C-134CA62BB930}" name="PivotTable32" cacheId="51" applyNumberFormats="0" applyBorderFormats="0" applyFontFormats="0" applyPatternFormats="0" applyAlignmentFormats="0" applyWidthHeightFormats="1" dataCaption="Values" updatedVersion="8" minRefreshableVersion="3" useAutoFormatting="1" itemPrintTitles="1" createdVersion="8" indent="0" multipleFieldFilters="0" chartFormat="27" rowHeaderCaption="Resources Used" colHeaderCaption="Working Profession">
  <location ref="B72:C79" firstHeaderRow="1" firstDataRow="1" firstDataCol="1"/>
  <pivotFields count="12">
    <pivotField showAll="0">
      <items count="3">
        <item x="1"/>
        <item x="0"/>
        <item t="default"/>
      </items>
    </pivotField>
    <pivotField showAll="0">
      <items count="7">
        <item x="0"/>
        <item x="1"/>
        <item x="2"/>
        <item x="3"/>
        <item x="4"/>
        <item x="5"/>
        <item t="default"/>
      </items>
    </pivotField>
    <pivotField showAll="0">
      <items count="3">
        <item x="0"/>
        <item x="1"/>
        <item t="default"/>
      </items>
    </pivotField>
    <pivotField showAll="0">
      <items count="9">
        <item x="0"/>
        <item x="1"/>
        <item x="2"/>
        <item x="3"/>
        <item x="4"/>
        <item x="5"/>
        <item x="6"/>
        <item x="7"/>
        <item t="default"/>
      </items>
    </pivotField>
    <pivotField showAll="0"/>
    <pivotField showAll="0"/>
    <pivotField showAll="0"/>
    <pivotField showAll="0"/>
    <pivotField axis="axisRow" showAll="0">
      <items count="7">
        <item x="3"/>
        <item x="4"/>
        <item x="0"/>
        <item x="5"/>
        <item x="1"/>
        <item x="2"/>
        <item t="default"/>
      </items>
    </pivotField>
    <pivotField showAll="0">
      <items count="9">
        <item x="6"/>
        <item x="3"/>
        <item x="5"/>
        <item x="1"/>
        <item x="4"/>
        <item x="2"/>
        <item x="7"/>
        <item x="0"/>
        <item t="default"/>
      </items>
    </pivotField>
    <pivotField showAll="0"/>
    <pivotField dataField="1" showAll="0"/>
  </pivotFields>
  <rowFields count="1">
    <field x="8"/>
  </rowFields>
  <rowItems count="7">
    <i>
      <x/>
    </i>
    <i>
      <x v="1"/>
    </i>
    <i>
      <x v="2"/>
    </i>
    <i>
      <x v="3"/>
    </i>
    <i>
      <x v="4"/>
    </i>
    <i>
      <x v="5"/>
    </i>
    <i t="grand">
      <x/>
    </i>
  </rowItems>
  <colItems count="1">
    <i/>
  </colItems>
  <dataFields count="1">
    <dataField name="Total Investments" fld="11" baseField="8" baseItem="0"/>
  </dataFields>
  <formats count="1">
    <format dxfId="331">
      <pivotArea outline="0" collapsedLevelsAreSubtotals="1" fieldPosition="0"/>
    </format>
  </formats>
  <chartFormats count="7">
    <chartFormat chart="22" format="8" series="1">
      <pivotArea type="data" outline="0" fieldPosition="0">
        <references count="1">
          <reference field="4294967294" count="1" selected="0">
            <x v="0"/>
          </reference>
        </references>
      </pivotArea>
    </chartFormat>
    <chartFormat chart="22" format="9">
      <pivotArea type="data" outline="0" fieldPosition="0">
        <references count="2">
          <reference field="4294967294" count="1" selected="0">
            <x v="0"/>
          </reference>
          <reference field="8" count="1" selected="0">
            <x v="0"/>
          </reference>
        </references>
      </pivotArea>
    </chartFormat>
    <chartFormat chart="22" format="10">
      <pivotArea type="data" outline="0" fieldPosition="0">
        <references count="2">
          <reference field="4294967294" count="1" selected="0">
            <x v="0"/>
          </reference>
          <reference field="8" count="1" selected="0">
            <x v="1"/>
          </reference>
        </references>
      </pivotArea>
    </chartFormat>
    <chartFormat chart="22" format="11">
      <pivotArea type="data" outline="0" fieldPosition="0">
        <references count="2">
          <reference field="4294967294" count="1" selected="0">
            <x v="0"/>
          </reference>
          <reference field="8" count="1" selected="0">
            <x v="2"/>
          </reference>
        </references>
      </pivotArea>
    </chartFormat>
    <chartFormat chart="22" format="12">
      <pivotArea type="data" outline="0" fieldPosition="0">
        <references count="2">
          <reference field="4294967294" count="1" selected="0">
            <x v="0"/>
          </reference>
          <reference field="8" count="1" selected="0">
            <x v="3"/>
          </reference>
        </references>
      </pivotArea>
    </chartFormat>
    <chartFormat chart="22" format="13">
      <pivotArea type="data" outline="0" fieldPosition="0">
        <references count="2">
          <reference field="4294967294" count="1" selected="0">
            <x v="0"/>
          </reference>
          <reference field="8" count="1" selected="0">
            <x v="4"/>
          </reference>
        </references>
      </pivotArea>
    </chartFormat>
    <chartFormat chart="22" format="14">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1E8D07-E546-4EC3-9BBB-A639EEF80E5D}" name="PivotTable31" cacheId="51" applyNumberFormats="0" applyBorderFormats="0" applyFontFormats="0" applyPatternFormats="0" applyAlignmentFormats="0" applyWidthHeightFormats="1" dataCaption="Values" updatedVersion="8" minRefreshableVersion="3" useAutoFormatting="1" itemPrintTitles="1" createdVersion="8" indent="0" multipleFieldFilters="0" chartFormat="10" rowHeaderCaption="Working Profession" colHeaderCaption="Goal">
  <location ref="B58:K62" firstHeaderRow="1" firstDataRow="2" firstDataCol="1"/>
  <pivotFields count="12">
    <pivotField showAll="0">
      <items count="3">
        <item x="1"/>
        <item x="0"/>
        <item t="default"/>
      </items>
    </pivotField>
    <pivotField showAll="0">
      <items count="7">
        <item x="0"/>
        <item x="1"/>
        <item x="2"/>
        <item x="3"/>
        <item x="4"/>
        <item x="5"/>
        <item t="default"/>
      </items>
    </pivotField>
    <pivotField axis="axisRow" showAll="0">
      <items count="3">
        <item x="0"/>
        <item x="1"/>
        <item t="default"/>
      </items>
    </pivotField>
    <pivotField showAll="0">
      <items count="9">
        <item x="0"/>
        <item x="1"/>
        <item x="2"/>
        <item x="3"/>
        <item x="4"/>
        <item x="5"/>
        <item x="6"/>
        <item x="7"/>
        <item t="default"/>
      </items>
    </pivotField>
    <pivotField showAll="0"/>
    <pivotField showAll="0">
      <items count="10">
        <item x="2"/>
        <item x="6"/>
        <item x="3"/>
        <item x="5"/>
        <item x="1"/>
        <item x="7"/>
        <item x="4"/>
        <item x="8"/>
        <item x="0"/>
        <item t="default"/>
      </items>
    </pivotField>
    <pivotField showAll="0"/>
    <pivotField showAll="0"/>
    <pivotField showAll="0">
      <items count="7">
        <item x="3"/>
        <item x="4"/>
        <item x="0"/>
        <item x="5"/>
        <item x="1"/>
        <item x="2"/>
        <item t="default"/>
      </items>
    </pivotField>
    <pivotField axis="axisCol" showAll="0">
      <items count="9">
        <item x="6"/>
        <item x="3"/>
        <item x="5"/>
        <item x="1"/>
        <item x="4"/>
        <item x="2"/>
        <item x="7"/>
        <item x="0"/>
        <item t="default"/>
      </items>
    </pivotField>
    <pivotField showAll="0"/>
    <pivotField dataField="1" showAll="0"/>
  </pivotFields>
  <rowFields count="1">
    <field x="2"/>
  </rowFields>
  <rowItems count="3">
    <i>
      <x/>
    </i>
    <i>
      <x v="1"/>
    </i>
    <i t="grand">
      <x/>
    </i>
  </rowItems>
  <colFields count="1">
    <field x="9"/>
  </colFields>
  <colItems count="9">
    <i>
      <x/>
    </i>
    <i>
      <x v="1"/>
    </i>
    <i>
      <x v="2"/>
    </i>
    <i>
      <x v="3"/>
    </i>
    <i>
      <x v="4"/>
    </i>
    <i>
      <x v="5"/>
    </i>
    <i>
      <x v="6"/>
    </i>
    <i>
      <x v="7"/>
    </i>
    <i t="grand">
      <x/>
    </i>
  </colItems>
  <dataFields count="1">
    <dataField name="Sum of Total Investment" fld="11" baseField="0" baseItem="0"/>
  </dataFields>
  <formats count="1">
    <format dxfId="332">
      <pivotArea outline="0" collapsedLevelsAreSubtotals="1" fieldPosition="0"/>
    </format>
  </formats>
  <chartFormats count="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DD89CB-2733-4A3B-A457-81BA57FEB6C5}" name="PivotTable30" cacheId="51" applyNumberFormats="0" applyBorderFormats="0" applyFontFormats="0" applyPatternFormats="0" applyAlignmentFormats="0" applyWidthHeightFormats="1" dataCaption="Values" updatedVersion="8" minRefreshableVersion="3" useAutoFormatting="1" itemPrintTitles="1" createdVersion="8" indent="0" multipleFieldFilters="0" chartFormat="18" rowHeaderCaption="Goal" colHeaderCaption="Working Profession">
  <location ref="B35:E45" firstHeaderRow="1" firstDataRow="2" firstDataCol="1"/>
  <pivotFields count="12">
    <pivotField showAll="0">
      <items count="3">
        <item x="1"/>
        <item x="0"/>
        <item t="default"/>
      </items>
    </pivotField>
    <pivotField showAll="0">
      <items count="7">
        <item x="0"/>
        <item x="1"/>
        <item x="2"/>
        <item x="3"/>
        <item x="4"/>
        <item x="5"/>
        <item t="default"/>
      </items>
    </pivotField>
    <pivotField axis="axisCol" showAll="0">
      <items count="3">
        <item x="0"/>
        <item x="1"/>
        <item t="default"/>
      </items>
    </pivotField>
    <pivotField showAll="0">
      <items count="9">
        <item x="0"/>
        <item x="1"/>
        <item x="2"/>
        <item x="3"/>
        <item x="4"/>
        <item x="5"/>
        <item x="6"/>
        <item x="7"/>
        <item t="default"/>
      </items>
    </pivotField>
    <pivotField showAll="0"/>
    <pivotField showAll="0"/>
    <pivotField showAll="0"/>
    <pivotField showAll="0"/>
    <pivotField showAll="0">
      <items count="7">
        <item x="3"/>
        <item x="4"/>
        <item x="0"/>
        <item x="5"/>
        <item x="1"/>
        <item x="2"/>
        <item t="default"/>
      </items>
    </pivotField>
    <pivotField axis="axisRow" showAll="0">
      <items count="9">
        <item x="6"/>
        <item x="3"/>
        <item x="5"/>
        <item x="1"/>
        <item x="4"/>
        <item x="2"/>
        <item x="7"/>
        <item x="0"/>
        <item t="default"/>
      </items>
    </pivotField>
    <pivotField showAll="0"/>
    <pivotField dataField="1" showAll="0"/>
  </pivotFields>
  <rowFields count="1">
    <field x="9"/>
  </rowFields>
  <rowItems count="9">
    <i>
      <x/>
    </i>
    <i>
      <x v="1"/>
    </i>
    <i>
      <x v="2"/>
    </i>
    <i>
      <x v="3"/>
    </i>
    <i>
      <x v="4"/>
    </i>
    <i>
      <x v="5"/>
    </i>
    <i>
      <x v="6"/>
    </i>
    <i>
      <x v="7"/>
    </i>
    <i t="grand">
      <x/>
    </i>
  </rowItems>
  <colFields count="1">
    <field x="2"/>
  </colFields>
  <colItems count="3">
    <i>
      <x/>
    </i>
    <i>
      <x v="1"/>
    </i>
    <i t="grand">
      <x/>
    </i>
  </colItems>
  <dataFields count="1">
    <dataField name="Sum of Total Investment" fld="11" baseField="0" baseItem="0"/>
  </dataFields>
  <formats count="1">
    <format dxfId="333">
      <pivotArea outline="0" collapsedLevelsAreSubtotals="1" fieldPosition="0"/>
    </format>
  </formats>
  <chartFormats count="2">
    <chartFormat chart="15" format="4" series="1">
      <pivotArea type="data" outline="0" fieldPosition="0">
        <references count="2">
          <reference field="4294967294" count="1" selected="0">
            <x v="0"/>
          </reference>
          <reference field="2" count="1" selected="0">
            <x v="0"/>
          </reference>
        </references>
      </pivotArea>
    </chartFormat>
    <chartFormat chart="15"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52235E-4BA4-4316-A40E-024D562EFB3A}" name="PivotTable29" cacheId="51" applyNumberFormats="0" applyBorderFormats="0" applyFontFormats="0" applyPatternFormats="0" applyAlignmentFormats="0" applyWidthHeightFormats="1" dataCaption="Values" updatedVersion="8" minRefreshableVersion="3" useAutoFormatting="1" itemPrintTitles="1" createdVersion="8" indent="0" multipleFieldFilters="0" chartFormat="6" rowHeaderCaption="Age Group" colHeaderCaption="Gender">
  <location ref="L85:M88" firstHeaderRow="1" firstDataRow="1" firstDataCol="1"/>
  <pivotFields count="12">
    <pivotField axis="axisRow" showAll="0">
      <items count="3">
        <item x="1"/>
        <item x="0"/>
        <item t="default"/>
      </items>
    </pivotField>
    <pivotField showAll="0">
      <items count="7">
        <item x="0"/>
        <item x="1"/>
        <item x="2"/>
        <item x="3"/>
        <item x="4"/>
        <item x="5"/>
        <item t="default"/>
      </items>
    </pivotField>
    <pivotField showAll="0">
      <items count="3">
        <item x="0"/>
        <item x="1"/>
        <item t="default"/>
      </items>
    </pivotField>
    <pivotField dataField="1"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s>
  <rowFields count="1">
    <field x="0"/>
  </rowFields>
  <rowItems count="3">
    <i>
      <x/>
    </i>
    <i>
      <x v="1"/>
    </i>
    <i t="grand">
      <x/>
    </i>
  </rowItems>
  <colItems count="1">
    <i/>
  </colItems>
  <dataFields count="1">
    <dataField name="Average of Annual income" fld="3" subtotal="average" baseField="0" baseItem="0"/>
  </dataFields>
  <formats count="1">
    <format dxfId="334">
      <pivotArea outline="0" collapsedLevelsAreSubtotals="1" fieldPosition="0"/>
    </format>
  </format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20B1400-355B-46F6-AAAC-136E3A31C2EF}" name="PivotTable24" cacheId="51" applyNumberFormats="0" applyBorderFormats="0" applyFontFormats="0" applyPatternFormats="0" applyAlignmentFormats="0" applyWidthHeightFormats="1" dataCaption="Values" updatedVersion="8" minRefreshableVersion="3" useAutoFormatting="1" itemPrintTitles="1" createdVersion="8" indent="0" multipleFieldFilters="0" chartFormat="24" rowHeaderCaption="Investment type" colHeaderCaption="Gender">
  <location ref="L64:M74" firstHeaderRow="1" firstDataRow="1" firstDataCol="1"/>
  <pivotFields count="12">
    <pivotField showAll="0">
      <items count="3">
        <item x="1"/>
        <item x="0"/>
        <item t="default"/>
      </items>
    </pivotField>
    <pivotField showAll="0">
      <items count="7">
        <item x="0"/>
        <item x="1"/>
        <item x="2"/>
        <item x="3"/>
        <item x="4"/>
        <item x="5"/>
        <item t="default"/>
      </items>
    </pivotField>
    <pivotField showAll="0">
      <items count="3">
        <item x="0"/>
        <item x="1"/>
        <item t="default"/>
      </items>
    </pivotField>
    <pivotField showAll="0">
      <items count="9">
        <item x="0"/>
        <item x="1"/>
        <item x="2"/>
        <item x="3"/>
        <item x="4"/>
        <item x="5"/>
        <item x="6"/>
        <item x="7"/>
        <item t="default"/>
      </items>
    </pivotField>
    <pivotField showAll="0">
      <items count="10">
        <item x="0"/>
        <item x="8"/>
        <item x="5"/>
        <item x="3"/>
        <item x="6"/>
        <item x="2"/>
        <item x="4"/>
        <item x="7"/>
        <item x="1"/>
        <item t="default"/>
      </items>
    </pivotField>
    <pivotField axis="axisRow" showAll="0">
      <items count="10">
        <item x="2"/>
        <item x="6"/>
        <item x="3"/>
        <item x="5"/>
        <item x="1"/>
        <item x="7"/>
        <item x="4"/>
        <item x="8"/>
        <item x="0"/>
        <item t="default"/>
      </items>
    </pivotField>
    <pivotField showAll="0"/>
    <pivotField showAll="0"/>
    <pivotField showAll="0"/>
    <pivotField showAll="0"/>
    <pivotField dataField="1" showAll="0"/>
    <pivotField showAll="0"/>
  </pivotFields>
  <rowFields count="1">
    <field x="5"/>
  </rowFields>
  <rowItems count="10">
    <i>
      <x/>
    </i>
    <i>
      <x v="1"/>
    </i>
    <i>
      <x v="2"/>
    </i>
    <i>
      <x v="3"/>
    </i>
    <i>
      <x v="4"/>
    </i>
    <i>
      <x v="5"/>
    </i>
    <i>
      <x v="6"/>
    </i>
    <i>
      <x v="7"/>
    </i>
    <i>
      <x v="8"/>
    </i>
    <i t="grand">
      <x/>
    </i>
  </rowItems>
  <colItems count="1">
    <i/>
  </colItems>
  <dataFields count="1">
    <dataField name="Average of Duration to save (in Years) " fld="10" subtotal="average" baseField="5" baseItem="0"/>
  </dataFields>
  <formats count="1">
    <format dxfId="335">
      <pivotArea outline="0" collapsedLevelsAreSubtotals="1" fieldPosition="0"/>
    </format>
  </format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8508382-192F-4B04-9D32-B806767A8347}" name="PivotTable21" cacheId="51" applyNumberFormats="0" applyBorderFormats="0" applyFontFormats="0" applyPatternFormats="0" applyAlignmentFormats="0" applyWidthHeightFormats="1" dataCaption="Values" updatedVersion="8" minRefreshableVersion="3" useAutoFormatting="1" itemPrintTitles="1" createdVersion="8" indent="0" multipleFieldFilters="0" chartFormat="12" rowHeaderCaption="Investment type" colHeaderCaption="Professionality">
  <location ref="O34:R45" firstHeaderRow="1" firstDataRow="2" firstDataCol="1"/>
  <pivotFields count="12">
    <pivotField showAll="0">
      <items count="3">
        <item x="1"/>
        <item x="0"/>
        <item t="default"/>
      </items>
    </pivotField>
    <pivotField showAll="0">
      <items count="7">
        <item x="0"/>
        <item x="1"/>
        <item x="2"/>
        <item x="3"/>
        <item x="4"/>
        <item x="5"/>
        <item t="default"/>
      </items>
    </pivotField>
    <pivotField axis="axisCol" showAll="0" sortType="descending">
      <items count="3">
        <item x="1"/>
        <item x="0"/>
        <item t="default"/>
      </items>
    </pivotField>
    <pivotField showAll="0">
      <items count="9">
        <item x="0"/>
        <item x="1"/>
        <item x="2"/>
        <item x="3"/>
        <item x="4"/>
        <item x="5"/>
        <item x="6"/>
        <item x="7"/>
        <item t="default"/>
      </items>
    </pivotField>
    <pivotField showAll="0">
      <items count="10">
        <item x="0"/>
        <item x="8"/>
        <item x="5"/>
        <item x="3"/>
        <item x="6"/>
        <item x="2"/>
        <item x="4"/>
        <item x="7"/>
        <item x="1"/>
        <item t="default"/>
      </items>
    </pivotField>
    <pivotField axis="axisRow" showAll="0">
      <items count="10">
        <item x="2"/>
        <item x="6"/>
        <item x="3"/>
        <item x="5"/>
        <item x="1"/>
        <item x="7"/>
        <item x="4"/>
        <item x="8"/>
        <item x="0"/>
        <item t="default"/>
      </items>
    </pivotField>
    <pivotField showAll="0"/>
    <pivotField showAll="0"/>
    <pivotField showAll="0"/>
    <pivotField showAll="0"/>
    <pivotField showAll="0"/>
    <pivotField dataField="1" showAll="0"/>
  </pivotFields>
  <rowFields count="1">
    <field x="5"/>
  </rowFields>
  <rowItems count="10">
    <i>
      <x/>
    </i>
    <i>
      <x v="1"/>
    </i>
    <i>
      <x v="2"/>
    </i>
    <i>
      <x v="3"/>
    </i>
    <i>
      <x v="4"/>
    </i>
    <i>
      <x v="5"/>
    </i>
    <i>
      <x v="6"/>
    </i>
    <i>
      <x v="7"/>
    </i>
    <i>
      <x v="8"/>
    </i>
    <i t="grand">
      <x/>
    </i>
  </rowItems>
  <colFields count="1">
    <field x="2"/>
  </colFields>
  <colItems count="3">
    <i>
      <x/>
    </i>
    <i>
      <x v="1"/>
    </i>
    <i t="grand">
      <x/>
    </i>
  </colItems>
  <dataFields count="1">
    <dataField name="Total Investments" fld="11" baseField="0" baseItem="0" numFmtId="164"/>
  </dataFields>
  <formats count="1">
    <format dxfId="336">
      <pivotArea outline="0" collapsedLevelsAreSubtotals="1" fieldPosition="0"/>
    </format>
  </formats>
  <chartFormats count="2">
    <chartFormat chart="8" format="4" series="1">
      <pivotArea type="data" outline="0" fieldPosition="0">
        <references count="2">
          <reference field="4294967294" count="1" selected="0">
            <x v="0"/>
          </reference>
          <reference field="2" count="1" selected="0">
            <x v="1"/>
          </reference>
        </references>
      </pivotArea>
    </chartFormat>
    <chartFormat chart="8" format="5" series="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16B5C47-5036-4C29-9250-19858B3CD509}" name="PivotTable12" cacheId="51"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rowHeaderCaption="Investment type" colHeaderCaption="Gender">
  <location ref="L33:M43" firstHeaderRow="1" firstDataRow="1" firstDataCol="1"/>
  <pivotFields count="12">
    <pivotField showAll="0">
      <items count="3">
        <item x="1"/>
        <item x="0"/>
        <item t="default"/>
      </items>
    </pivotField>
    <pivotField showAll="0">
      <items count="7">
        <item x="0"/>
        <item x="1"/>
        <item x="2"/>
        <item x="3"/>
        <item x="4"/>
        <item x="5"/>
        <item t="default"/>
      </items>
    </pivotField>
    <pivotField showAll="0">
      <items count="3">
        <item x="0"/>
        <item x="1"/>
        <item t="default"/>
      </items>
    </pivotField>
    <pivotField showAll="0">
      <items count="9">
        <item x="0"/>
        <item x="1"/>
        <item x="2"/>
        <item x="3"/>
        <item x="4"/>
        <item x="5"/>
        <item x="6"/>
        <item x="7"/>
        <item t="default"/>
      </items>
    </pivotField>
    <pivotField showAll="0">
      <items count="10">
        <item x="0"/>
        <item x="8"/>
        <item x="5"/>
        <item x="3"/>
        <item x="6"/>
        <item x="2"/>
        <item x="4"/>
        <item x="7"/>
        <item x="1"/>
        <item t="default"/>
      </items>
    </pivotField>
    <pivotField axis="axisRow" showAll="0">
      <items count="10">
        <item x="2"/>
        <item x="6"/>
        <item x="3"/>
        <item x="5"/>
        <item x="1"/>
        <item x="7"/>
        <item x="4"/>
        <item x="8"/>
        <item x="0"/>
        <item t="default"/>
      </items>
    </pivotField>
    <pivotField showAll="0"/>
    <pivotField showAll="0"/>
    <pivotField showAll="0"/>
    <pivotField showAll="0"/>
    <pivotField showAll="0"/>
    <pivotField dataField="1" showAll="0"/>
  </pivotFields>
  <rowFields count="1">
    <field x="5"/>
  </rowFields>
  <rowItems count="10">
    <i>
      <x/>
    </i>
    <i>
      <x v="1"/>
    </i>
    <i>
      <x v="2"/>
    </i>
    <i>
      <x v="3"/>
    </i>
    <i>
      <x v="4"/>
    </i>
    <i>
      <x v="5"/>
    </i>
    <i>
      <x v="6"/>
    </i>
    <i>
      <x v="7"/>
    </i>
    <i>
      <x v="8"/>
    </i>
    <i t="grand">
      <x/>
    </i>
  </rowItems>
  <colItems count="1">
    <i/>
  </colItems>
  <dataFields count="1">
    <dataField name="Total Investments" fld="11" baseField="0" baseItem="0" numFmtId="164"/>
  </dataFields>
  <formats count="1">
    <format dxfId="33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BA53B0A-2CEC-478B-B976-0AD08FC60DD4}" name="PivotTable7" cacheId="51"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Investment type" colHeaderCaption="Investment Type">
  <location ref="Q17:AA21" firstHeaderRow="1" firstDataRow="2" firstDataCol="1"/>
  <pivotFields count="12">
    <pivotField axis="axisRow" showAll="0">
      <items count="3">
        <item x="1"/>
        <item x="0"/>
        <item t="default"/>
      </items>
    </pivotField>
    <pivotField showAll="0">
      <items count="7">
        <item x="0"/>
        <item x="1"/>
        <item x="2"/>
        <item x="3"/>
        <item x="4"/>
        <item x="5"/>
        <item t="default"/>
      </items>
    </pivotField>
    <pivotField showAll="0">
      <items count="3">
        <item x="0"/>
        <item x="1"/>
        <item t="default"/>
      </items>
    </pivotField>
    <pivotField showAll="0">
      <items count="9">
        <item x="0"/>
        <item x="1"/>
        <item x="2"/>
        <item x="3"/>
        <item x="4"/>
        <item x="5"/>
        <item x="6"/>
        <item x="7"/>
        <item t="default"/>
      </items>
    </pivotField>
    <pivotField showAll="0">
      <items count="10">
        <item x="0"/>
        <item x="8"/>
        <item x="5"/>
        <item x="3"/>
        <item x="6"/>
        <item x="2"/>
        <item x="4"/>
        <item x="7"/>
        <item x="1"/>
        <item t="default"/>
      </items>
    </pivotField>
    <pivotField axis="axisCol" showAll="0">
      <items count="10">
        <item x="2"/>
        <item x="6"/>
        <item x="3"/>
        <item x="5"/>
        <item x="1"/>
        <item x="7"/>
        <item x="4"/>
        <item x="8"/>
        <item x="0"/>
        <item t="default"/>
      </items>
    </pivotField>
    <pivotField showAll="0"/>
    <pivotField showAll="0"/>
    <pivotField showAll="0"/>
    <pivotField showAll="0"/>
    <pivotField showAll="0"/>
    <pivotField dataField="1" showAll="0"/>
  </pivotFields>
  <rowFields count="1">
    <field x="0"/>
  </rowFields>
  <rowItems count="3">
    <i>
      <x/>
    </i>
    <i>
      <x v="1"/>
    </i>
    <i t="grand">
      <x/>
    </i>
  </rowItems>
  <colFields count="1">
    <field x="5"/>
  </colFields>
  <colItems count="10">
    <i>
      <x/>
    </i>
    <i>
      <x v="1"/>
    </i>
    <i>
      <x v="2"/>
    </i>
    <i>
      <x v="3"/>
    </i>
    <i>
      <x v="4"/>
    </i>
    <i>
      <x v="5"/>
    </i>
    <i>
      <x v="6"/>
    </i>
    <i>
      <x v="7"/>
    </i>
    <i>
      <x v="8"/>
    </i>
    <i t="grand">
      <x/>
    </i>
  </colItems>
  <dataFields count="1">
    <dataField name="Genders" fld="11" baseField="0" baseItem="0" numFmtId="164"/>
  </dataFields>
  <formats count="1">
    <format dxfId="3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39F957C-799A-4ADD-9615-76B91C6C73FF}" name="PivotTable2" cacheId="51" applyNumberFormats="0" applyBorderFormats="0" applyFontFormats="0" applyPatternFormats="0" applyAlignmentFormats="0" applyWidthHeightFormats="1" dataCaption="Values" updatedVersion="8" minRefreshableVersion="3" useAutoFormatting="1" itemPrintTitles="1" createdVersion="8" indent="0" multipleFieldFilters="0" chartFormat="8" rowHeaderCaption="Age Group">
  <location ref="D3:E8" firstHeaderRow="1" firstDataRow="1" firstDataCol="1"/>
  <pivotFields count="12">
    <pivotField showAll="0">
      <items count="3">
        <item x="1"/>
        <item x="0"/>
        <item t="default"/>
      </items>
    </pivotField>
    <pivotField axis="axisRow" showAll="0">
      <items count="7">
        <item x="0"/>
        <item x="1"/>
        <item x="2"/>
        <item x="3"/>
        <item x="4"/>
        <item x="5"/>
        <item t="default"/>
      </items>
    </pivotField>
    <pivotField showAll="0">
      <items count="3">
        <item x="0"/>
        <item x="1"/>
        <item t="default"/>
      </items>
    </pivotField>
    <pivotField showAll="0">
      <items count="9">
        <item x="0"/>
        <item x="1"/>
        <item x="2"/>
        <item x="3"/>
        <item x="4"/>
        <item x="5"/>
        <item x="6"/>
        <item x="7"/>
        <item t="default"/>
      </items>
    </pivotField>
    <pivotField showAll="0"/>
    <pivotField showAll="0"/>
    <pivotField showAll="0"/>
    <pivotField showAll="0"/>
    <pivotField showAll="0"/>
    <pivotField showAll="0"/>
    <pivotField showAll="0"/>
    <pivotField dataField="1" showAll="0"/>
  </pivotFields>
  <rowFields count="1">
    <field x="1"/>
  </rowFields>
  <rowItems count="5">
    <i>
      <x v="1"/>
    </i>
    <i>
      <x v="2"/>
    </i>
    <i>
      <x v="3"/>
    </i>
    <i>
      <x v="4"/>
    </i>
    <i t="grand">
      <x/>
    </i>
  </rowItems>
  <colItems count="1">
    <i/>
  </colItems>
  <dataFields count="1">
    <dataField name="Total Investments" fld="11" baseField="0" baseItem="0" numFmtId="164"/>
  </dataFields>
  <formats count="1">
    <format dxfId="352">
      <pivotArea outline="0" collapsedLevelsAreSubtotals="1" fieldPosition="0"/>
    </format>
  </formats>
  <conditionalFormats count="1">
    <conditionalFormat priority="2">
      <pivotAreas count="1">
        <pivotArea type="data" collapsedLevelsAreSubtotals="1" fieldPosition="0">
          <references count="2">
            <reference field="4294967294" count="1" selected="0">
              <x v="0"/>
            </reference>
            <reference field="1" count="4">
              <x v="1"/>
              <x v="2"/>
              <x v="3"/>
              <x v="4"/>
            </reference>
          </references>
        </pivotArea>
      </pivotAreas>
    </conditionalFormat>
  </conditionalFormats>
  <chartFormats count="11">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1"/>
          </reference>
        </references>
      </pivotArea>
    </chartFormat>
    <chartFormat chart="4" format="8">
      <pivotArea type="data" outline="0" fieldPosition="0">
        <references count="2">
          <reference field="4294967294" count="1" selected="0">
            <x v="0"/>
          </reference>
          <reference field="1" count="1" selected="0">
            <x v="2"/>
          </reference>
        </references>
      </pivotArea>
    </chartFormat>
    <chartFormat chart="4" format="9">
      <pivotArea type="data" outline="0" fieldPosition="0">
        <references count="2">
          <reference field="4294967294" count="1" selected="0">
            <x v="0"/>
          </reference>
          <reference field="1" count="1" selected="0">
            <x v="3"/>
          </reference>
        </references>
      </pivotArea>
    </chartFormat>
    <chartFormat chart="4" format="10">
      <pivotArea type="data" outline="0" fieldPosition="0">
        <references count="2">
          <reference field="4294967294" count="1" selected="0">
            <x v="0"/>
          </reference>
          <reference field="1" count="1" selected="0">
            <x v="4"/>
          </reference>
        </references>
      </pivotArea>
    </chartFormat>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1" count="1" selected="0">
            <x v="1"/>
          </reference>
        </references>
      </pivotArea>
    </chartFormat>
    <chartFormat chart="7" format="18">
      <pivotArea type="data" outline="0" fieldPosition="0">
        <references count="2">
          <reference field="4294967294" count="1" selected="0">
            <x v="0"/>
          </reference>
          <reference field="1" count="1" selected="0">
            <x v="2"/>
          </reference>
        </references>
      </pivotArea>
    </chartFormat>
    <chartFormat chart="7" format="19">
      <pivotArea type="data" outline="0" fieldPosition="0">
        <references count="2">
          <reference field="4294967294" count="1" selected="0">
            <x v="0"/>
          </reference>
          <reference field="1" count="1" selected="0">
            <x v="3"/>
          </reference>
        </references>
      </pivotArea>
    </chartFormat>
    <chartFormat chart="7" format="20">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682FA47-E587-441B-B999-5BFD1CC6A152}" name="PivotTable1" cacheId="51" applyNumberFormats="0" applyBorderFormats="0" applyFontFormats="0" applyPatternFormats="0" applyAlignmentFormats="0" applyWidthHeightFormats="1" dataCaption="Values" updatedVersion="8" minRefreshableVersion="3" useAutoFormatting="1" itemPrintTitles="1" createdVersion="8" indent="0" multipleFieldFilters="0" chartFormat="10" rowHeaderCaption="Gender">
  <location ref="A3:B6" firstHeaderRow="1" firstDataRow="1" firstDataCol="1"/>
  <pivotFields count="12">
    <pivotField axis="axisRow" showAll="0">
      <items count="3">
        <item x="1"/>
        <item x="0"/>
        <item t="default"/>
      </items>
    </pivotField>
    <pivotField showAll="0">
      <items count="7">
        <item x="0"/>
        <item x="1"/>
        <item x="2"/>
        <item x="3"/>
        <item x="4"/>
        <item x="5"/>
        <item t="default"/>
      </items>
    </pivotField>
    <pivotField showAll="0">
      <items count="3">
        <item x="0"/>
        <item x="1"/>
        <item t="default"/>
      </items>
    </pivotField>
    <pivotField showAll="0">
      <items count="9">
        <item x="0"/>
        <item x="1"/>
        <item x="2"/>
        <item x="3"/>
        <item x="4"/>
        <item x="5"/>
        <item x="6"/>
        <item x="7"/>
        <item t="default"/>
      </items>
    </pivotField>
    <pivotField showAll="0"/>
    <pivotField showAll="0"/>
    <pivotField showAll="0"/>
    <pivotField showAll="0"/>
    <pivotField showAll="0"/>
    <pivotField showAll="0"/>
    <pivotField showAll="0"/>
    <pivotField dataField="1" showAll="0"/>
  </pivotFields>
  <rowFields count="1">
    <field x="0"/>
  </rowFields>
  <rowItems count="3">
    <i>
      <x/>
    </i>
    <i>
      <x v="1"/>
    </i>
    <i t="grand">
      <x/>
    </i>
  </rowItems>
  <colItems count="1">
    <i/>
  </colItems>
  <dataFields count="1">
    <dataField name="Sum of Total Investment" fld="11" baseField="0" baseItem="0" numFmtId="164"/>
  </dataFields>
  <formats count="1">
    <format dxfId="353">
      <pivotArea outline="0" collapsedLevelsAreSubtotals="1" fieldPosition="0"/>
    </format>
  </formats>
  <chartFormats count="3">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0"/>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806849D-91A5-4E2C-8F08-03DE5DAB58AF}" name="PivotTable6" cacheId="51" applyNumberFormats="0" applyBorderFormats="0" applyFontFormats="0" applyPatternFormats="0" applyAlignmentFormats="0" applyWidthHeightFormats="1" dataCaption="Values" updatedVersion="8" minRefreshableVersion="3" useAutoFormatting="1" itemPrintTitles="1" createdVersion="8" indent="0" multipleFieldFilters="0" chartFormat="6" rowHeaderCaption="Age Group" colHeaderCaption="Investment Type">
  <location ref="U3:AE9" firstHeaderRow="1" firstDataRow="2" firstDataCol="1"/>
  <pivotFields count="12">
    <pivotField showAll="0">
      <items count="3">
        <item x="1"/>
        <item x="0"/>
        <item t="default"/>
      </items>
    </pivotField>
    <pivotField axis="axisRow" showAll="0">
      <items count="7">
        <item x="0"/>
        <item x="1"/>
        <item x="2"/>
        <item x="3"/>
        <item x="4"/>
        <item x="5"/>
        <item t="default"/>
      </items>
    </pivotField>
    <pivotField showAll="0">
      <items count="3">
        <item x="0"/>
        <item x="1"/>
        <item t="default"/>
      </items>
    </pivotField>
    <pivotField showAll="0">
      <items count="9">
        <item x="0"/>
        <item x="1"/>
        <item x="2"/>
        <item x="3"/>
        <item x="4"/>
        <item x="5"/>
        <item x="6"/>
        <item x="7"/>
        <item t="default"/>
      </items>
    </pivotField>
    <pivotField showAll="0"/>
    <pivotField axis="axisCol" showAll="0">
      <items count="10">
        <item x="2"/>
        <item x="6"/>
        <item x="3"/>
        <item x="5"/>
        <item x="1"/>
        <item x="7"/>
        <item x="4"/>
        <item x="8"/>
        <item x="0"/>
        <item t="default"/>
      </items>
    </pivotField>
    <pivotField showAll="0"/>
    <pivotField showAll="0"/>
    <pivotField showAll="0"/>
    <pivotField showAll="0"/>
    <pivotField showAll="0"/>
    <pivotField dataField="1" showAll="0"/>
  </pivotFields>
  <rowFields count="1">
    <field x="1"/>
  </rowFields>
  <rowItems count="5">
    <i>
      <x v="1"/>
    </i>
    <i>
      <x v="2"/>
    </i>
    <i>
      <x v="3"/>
    </i>
    <i>
      <x v="4"/>
    </i>
    <i t="grand">
      <x/>
    </i>
  </rowItems>
  <colFields count="1">
    <field x="5"/>
  </colFields>
  <colItems count="10">
    <i>
      <x/>
    </i>
    <i>
      <x v="1"/>
    </i>
    <i>
      <x v="2"/>
    </i>
    <i>
      <x v="3"/>
    </i>
    <i>
      <x v="4"/>
    </i>
    <i>
      <x v="5"/>
    </i>
    <i>
      <x v="6"/>
    </i>
    <i>
      <x v="7"/>
    </i>
    <i>
      <x v="8"/>
    </i>
    <i t="grand">
      <x/>
    </i>
  </colItems>
  <dataFields count="1">
    <dataField name="Total Investments" fld="11" baseField="0" baseItem="0" numFmtId="164"/>
  </dataFields>
  <formats count="1">
    <format dxfId="35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8CAE99F-07C7-450B-858C-C6C0D5B9A97A}" name="PivotTable5" cacheId="51"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Goal for investment" colHeaderCaption="Gender">
  <location ref="Q3:R12" firstHeaderRow="1" firstDataRow="1" firstDataCol="1"/>
  <pivotFields count="12">
    <pivotField showAll="0">
      <items count="3">
        <item x="1"/>
        <item x="0"/>
        <item t="default"/>
      </items>
    </pivotField>
    <pivotField showAll="0">
      <items count="7">
        <item x="0"/>
        <item x="1"/>
        <item x="2"/>
        <item x="3"/>
        <item x="4"/>
        <item x="5"/>
        <item t="default"/>
      </items>
    </pivotField>
    <pivotField showAll="0">
      <items count="3">
        <item x="0"/>
        <item x="1"/>
        <item t="default"/>
      </items>
    </pivotField>
    <pivotField showAll="0">
      <items count="9">
        <item x="0"/>
        <item x="1"/>
        <item x="2"/>
        <item x="3"/>
        <item x="4"/>
        <item x="5"/>
        <item x="6"/>
        <item x="7"/>
        <item t="default"/>
      </items>
    </pivotField>
    <pivotField showAll="0">
      <items count="10">
        <item x="0"/>
        <item x="8"/>
        <item x="5"/>
        <item x="3"/>
        <item x="6"/>
        <item x="2"/>
        <item x="4"/>
        <item x="7"/>
        <item x="1"/>
        <item t="default"/>
      </items>
    </pivotField>
    <pivotField showAll="0">
      <items count="10">
        <item x="2"/>
        <item x="6"/>
        <item x="3"/>
        <item x="5"/>
        <item x="1"/>
        <item x="7"/>
        <item x="4"/>
        <item x="8"/>
        <item x="0"/>
        <item t="default"/>
      </items>
    </pivotField>
    <pivotField dataField="1" showAll="0"/>
    <pivotField showAll="0"/>
    <pivotField showAll="0"/>
    <pivotField axis="axisRow" showAll="0">
      <items count="9">
        <item x="6"/>
        <item x="3"/>
        <item x="5"/>
        <item x="1"/>
        <item x="4"/>
        <item x="2"/>
        <item x="7"/>
        <item x="0"/>
        <item t="default"/>
      </items>
    </pivotField>
    <pivotField showAll="0"/>
    <pivotField showAll="0"/>
  </pivotFields>
  <rowFields count="1">
    <field x="9"/>
  </rowFields>
  <rowItems count="9">
    <i>
      <x/>
    </i>
    <i>
      <x v="1"/>
    </i>
    <i>
      <x v="2"/>
    </i>
    <i>
      <x v="3"/>
    </i>
    <i>
      <x v="4"/>
    </i>
    <i>
      <x v="5"/>
    </i>
    <i>
      <x v="6"/>
    </i>
    <i>
      <x v="7"/>
    </i>
    <i t="grand">
      <x/>
    </i>
  </rowItems>
  <colItems count="1">
    <i/>
  </colItems>
  <dataFields count="1">
    <dataField name="Average of Investment per month" fld="6" subtotal="average" baseField="9" baseItem="0"/>
  </dataFields>
  <formats count="1">
    <format dxfId="35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D2BEBAA-3344-4095-8473-82E088B0C97F}" name="PivotTable4" cacheId="51"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Investment type" colHeaderCaption="Gender">
  <location ref="L3:N13" firstHeaderRow="0" firstDataRow="1" firstDataCol="1"/>
  <pivotFields count="12">
    <pivotField showAll="0">
      <items count="3">
        <item x="1"/>
        <item x="0"/>
        <item t="default"/>
      </items>
    </pivotField>
    <pivotField showAll="0">
      <items count="7">
        <item x="0"/>
        <item x="1"/>
        <item x="2"/>
        <item x="3"/>
        <item x="4"/>
        <item x="5"/>
        <item t="default"/>
      </items>
    </pivotField>
    <pivotField showAll="0">
      <items count="3">
        <item x="0"/>
        <item x="1"/>
        <item t="default"/>
      </items>
    </pivotField>
    <pivotField showAll="0">
      <items count="9">
        <item x="0"/>
        <item x="1"/>
        <item x="2"/>
        <item x="3"/>
        <item x="4"/>
        <item x="5"/>
        <item x="6"/>
        <item x="7"/>
        <item t="default"/>
      </items>
    </pivotField>
    <pivotField showAll="0">
      <items count="10">
        <item x="0"/>
        <item x="8"/>
        <item x="5"/>
        <item x="3"/>
        <item x="6"/>
        <item x="2"/>
        <item x="4"/>
        <item x="7"/>
        <item x="1"/>
        <item t="default"/>
      </items>
    </pivotField>
    <pivotField axis="axisRow" showAll="0">
      <items count="10">
        <item x="2"/>
        <item x="6"/>
        <item x="3"/>
        <item x="5"/>
        <item x="1"/>
        <item x="7"/>
        <item x="4"/>
        <item x="8"/>
        <item x="0"/>
        <item t="default"/>
      </items>
    </pivotField>
    <pivotField showAll="0"/>
    <pivotField showAll="0"/>
    <pivotField showAll="0"/>
    <pivotField showAll="0"/>
    <pivotField dataField="1" showAll="0"/>
    <pivotField dataField="1" showAll="0"/>
  </pivotFields>
  <rowFields count="1">
    <field x="5"/>
  </rowFields>
  <rowItems count="10">
    <i>
      <x/>
    </i>
    <i>
      <x v="1"/>
    </i>
    <i>
      <x v="2"/>
    </i>
    <i>
      <x v="3"/>
    </i>
    <i>
      <x v="4"/>
    </i>
    <i>
      <x v="5"/>
    </i>
    <i>
      <x v="6"/>
    </i>
    <i>
      <x v="7"/>
    </i>
    <i>
      <x v="8"/>
    </i>
    <i t="grand">
      <x/>
    </i>
  </rowItems>
  <colFields count="1">
    <field x="-2"/>
  </colFields>
  <colItems count="2">
    <i>
      <x/>
    </i>
    <i i="1">
      <x v="1"/>
    </i>
  </colItems>
  <dataFields count="2">
    <dataField name="Total Investments" fld="11" baseField="0" baseItem="0" numFmtId="164"/>
    <dataField name="Average of Duration to save (in Years) " fld="10" subtotal="average" baseField="5" baseItem="0"/>
  </dataFields>
  <formats count="1">
    <format dxfId="35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FF95FB6-99C8-4642-854A-CE696067C0CF}" name="PivotTable3" cacheId="51"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Age Group" colHeaderCaption="Gender">
  <location ref="G3:J9" firstHeaderRow="1" firstDataRow="2" firstDataCol="1"/>
  <pivotFields count="12">
    <pivotField axis="axisCol" showAll="0">
      <items count="3">
        <item x="1"/>
        <item x="0"/>
        <item t="default"/>
      </items>
    </pivotField>
    <pivotField axis="axisRow" showAll="0">
      <items count="7">
        <item x="0"/>
        <item x="1"/>
        <item x="2"/>
        <item x="3"/>
        <item x="4"/>
        <item x="5"/>
        <item t="default"/>
      </items>
    </pivotField>
    <pivotField showAll="0">
      <items count="3">
        <item x="0"/>
        <item x="1"/>
        <item t="default"/>
      </items>
    </pivotField>
    <pivotField showAll="0">
      <items count="9">
        <item x="0"/>
        <item x="1"/>
        <item x="2"/>
        <item x="3"/>
        <item x="4"/>
        <item x="5"/>
        <item x="6"/>
        <item x="7"/>
        <item t="default"/>
      </items>
    </pivotField>
    <pivotField showAll="0"/>
    <pivotField showAll="0"/>
    <pivotField showAll="0"/>
    <pivotField showAll="0"/>
    <pivotField showAll="0"/>
    <pivotField showAll="0"/>
    <pivotField showAll="0"/>
    <pivotField dataField="1" showAll="0"/>
  </pivotFields>
  <rowFields count="1">
    <field x="1"/>
  </rowFields>
  <rowItems count="5">
    <i>
      <x v="1"/>
    </i>
    <i>
      <x v="2"/>
    </i>
    <i>
      <x v="3"/>
    </i>
    <i>
      <x v="4"/>
    </i>
    <i t="grand">
      <x/>
    </i>
  </rowItems>
  <colFields count="1">
    <field x="0"/>
  </colFields>
  <colItems count="3">
    <i>
      <x/>
    </i>
    <i>
      <x v="1"/>
    </i>
    <i t="grand">
      <x/>
    </i>
  </colItems>
  <dataFields count="1">
    <dataField name="Total Investments" fld="11" baseField="0" baseItem="0" numFmtId="164"/>
  </dataFields>
  <formats count="1">
    <format dxfId="35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B0FAD8A-0D45-456D-AA85-720B69398215}" sourceName="Gender">
  <pivotTables>
    <pivotTable tabId="3" name="PivotTable1"/>
    <pivotTable tabId="3" name="PivotTable12"/>
    <pivotTable tabId="3" name="PivotTable2"/>
    <pivotTable tabId="3" name="PivotTable21"/>
    <pivotTable tabId="3" name="PivotTable24"/>
    <pivotTable tabId="3" name="PivotTable29"/>
    <pivotTable tabId="3" name="PivotTable3"/>
    <pivotTable tabId="3" name="PivotTable30"/>
    <pivotTable tabId="3" name="PivotTable31"/>
    <pivotTable tabId="3" name="PivotTable32"/>
    <pivotTable tabId="3" name="PivotTable37"/>
    <pivotTable tabId="3" name="PivotTable39"/>
    <pivotTable tabId="3" name="PivotTable4"/>
    <pivotTable tabId="3" name="PivotTable5"/>
    <pivotTable tabId="3" name="PivotTable6"/>
    <pivotTable tabId="3" name="PivotTable7"/>
  </pivotTables>
  <data>
    <tabular pivotCacheId="18634824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ing_professional" xr10:uid="{ACE0FF05-3CB5-4E85-AE07-76C0DE243537}" sourceName="Working professional">
  <pivotTables>
    <pivotTable tabId="3" name="PivotTable31"/>
    <pivotTable tabId="3" name="PivotTable1"/>
    <pivotTable tabId="3" name="PivotTable12"/>
    <pivotTable tabId="3" name="PivotTable2"/>
    <pivotTable tabId="3" name="PivotTable21"/>
    <pivotTable tabId="3" name="PivotTable24"/>
    <pivotTable tabId="3" name="PivotTable29"/>
    <pivotTable tabId="3" name="PivotTable3"/>
    <pivotTable tabId="3" name="PivotTable30"/>
    <pivotTable tabId="3" name="PivotTable32"/>
    <pivotTable tabId="3" name="PivotTable37"/>
    <pivotTable tabId="3" name="PivotTable39"/>
    <pivotTable tabId="3" name="PivotTable4"/>
    <pivotTable tabId="3" name="PivotTable5"/>
    <pivotTable tabId="3" name="PivotTable6"/>
    <pivotTable tabId="3" name="PivotTable7"/>
  </pivotTables>
  <data>
    <tabular pivotCacheId="18634824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26D0111-5787-4A18-8A3D-CB688530FDF8}" cache="Slicer_Gender" caption="Gender" columnCount="2" rowHeight="241300"/>
  <slicer name="Working professional" xr10:uid="{FF8CF36D-7474-4464-BD78-7260E74EB752}" cache="Slicer_Working_professional" caption="Working professional" columnCoun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61857992-9829-4428-974E-3F1344A1C3EA}" cache="Slicer_Gender" caption="Gender" columnCount="2" rowHeight="241300"/>
  <slicer name="Working professional 1" xr10:uid="{FF6E6401-EA25-4D8A-9351-6DD80727CE07}" cache="Slicer_Working_professional" caption="Working professional" columnCount="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C436163B-B3DB-4EA9-B75C-E3243C1FEA56}" cache="Slicer_Gender" caption="Gender" columnCount="2" rowHeight="241300"/>
  <slicer name="Working professional 2" xr10:uid="{CD3119B7-C445-4E20-9532-1A5D51A0FF2E}" cache="Slicer_Working_professional" caption="Working professional"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825F2F-1783-48EA-9B89-F1520B08DC86}" name="Table1" displayName="Table1" ref="A1:L100" totalsRowShown="0" headerRowDxfId="351" dataDxfId="350">
  <autoFilter ref="A1:L100" xr:uid="{13825F2F-1783-48EA-9B89-F1520B08DC86}"/>
  <tableColumns count="12">
    <tableColumn id="1" xr3:uid="{5D3F0964-B7F1-4114-9099-639C71055E10}" name="Gender" dataDxfId="349"/>
    <tableColumn id="2" xr3:uid="{F96BC8F1-574E-4E10-B106-AF99DD135395}" name="Age" dataDxfId="348"/>
    <tableColumn id="3" xr3:uid="{D6C6FB62-05A8-492F-B344-75ED3523339A}" name="Working professional" dataDxfId="347"/>
    <tableColumn id="4" xr3:uid="{22EE1473-C505-4170-8303-3DE0A35D32EC}" name="Annual income" dataDxfId="346"/>
    <tableColumn id="5" xr3:uid="{3476504B-01CF-461F-B545-179119DD4ED6}" name="Investment" dataDxfId="345"/>
    <tableColumn id="6" xr3:uid="{FB17F415-0972-4C01-8413-E00F78D5128B}" name="investment type" dataDxfId="344"/>
    <tableColumn id="7" xr3:uid="{65382A2E-BEB5-448B-B959-C16641F9A91B}" name="Investment per month" dataDxfId="343"/>
    <tableColumn id="8" xr3:uid="{7973909B-6309-4979-B897-E1EC18C5B24A}" name="Motivation cause" dataDxfId="342"/>
    <tableColumn id="9" xr3:uid="{3787AB71-D7B7-4A4C-876B-AD35B0B5DE16}" name="Resources used" dataDxfId="341"/>
    <tableColumn id="10" xr3:uid="{2F9D32B1-45BE-490D-B98A-6A2BAB301AFF}" name="Goal for investment" dataDxfId="340"/>
    <tableColumn id="11" xr3:uid="{AA3EA935-17D0-4495-862B-4203C95B3289}" name="Duration to save (in Years) " dataDxfId="339"/>
    <tableColumn id="12" xr3:uid="{05D52912-7CEB-46F0-8D26-AEC54A28FC2D}" name="Total Investm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3FB47-75C2-487D-A73F-9FEB90394D64}">
  <dimension ref="A3:AE144"/>
  <sheetViews>
    <sheetView zoomScale="70" zoomScaleNormal="70" workbookViewId="0">
      <selection sqref="A1:XFD1"/>
    </sheetView>
  </sheetViews>
  <sheetFormatPr defaultRowHeight="14.25" x14ac:dyDescent="0.45"/>
  <cols>
    <col min="1" max="1" width="10.33203125" bestFit="1" customWidth="1"/>
    <col min="2" max="2" width="29.33203125" bestFit="1" customWidth="1"/>
    <col min="3" max="3" width="12.46484375" bestFit="1" customWidth="1"/>
    <col min="4" max="6" width="6.46484375" bestFit="1" customWidth="1"/>
    <col min="7" max="7" width="10.33203125" bestFit="1" customWidth="1"/>
    <col min="8" max="8" width="10.06640625" bestFit="1" customWidth="1"/>
    <col min="9" max="9" width="11.86328125" bestFit="1" customWidth="1"/>
    <col min="10" max="10" width="7.46484375" bestFit="1" customWidth="1"/>
    <col min="11" max="11" width="10.06640625" bestFit="1" customWidth="1"/>
    <col min="12" max="12" width="17.6640625" bestFit="1" customWidth="1"/>
    <col min="13" max="13" width="15.6640625" bestFit="1" customWidth="1"/>
    <col min="14" max="14" width="33.1328125" bestFit="1" customWidth="1"/>
    <col min="15" max="15" width="17.6640625" bestFit="1" customWidth="1"/>
    <col min="16" max="16" width="16.06640625" bestFit="1" customWidth="1"/>
    <col min="17" max="17" width="17.6640625" bestFit="1" customWidth="1"/>
    <col min="18" max="18" width="18" bestFit="1" customWidth="1"/>
    <col min="19" max="19" width="16" bestFit="1" customWidth="1"/>
    <col min="20" max="20" width="14" bestFit="1" customWidth="1"/>
    <col min="21" max="21" width="11.86328125" bestFit="1" customWidth="1"/>
    <col min="22" max="22" width="16.73046875" bestFit="1" customWidth="1"/>
    <col min="23" max="23" width="10.06640625" bestFit="1" customWidth="1"/>
    <col min="24" max="24" width="11.86328125" bestFit="1" customWidth="1"/>
    <col min="25" max="25" width="7.46484375" bestFit="1" customWidth="1"/>
    <col min="26" max="26" width="10.06640625" bestFit="1" customWidth="1"/>
    <col min="27" max="27" width="11.59765625" bestFit="1" customWidth="1"/>
    <col min="28" max="28" width="11.86328125" bestFit="1" customWidth="1"/>
    <col min="29" max="29" width="7.46484375" bestFit="1" customWidth="1"/>
    <col min="30" max="30" width="10.06640625" bestFit="1" customWidth="1"/>
    <col min="31" max="31" width="11.59765625" bestFit="1" customWidth="1"/>
  </cols>
  <sheetData>
    <row r="3" spans="1:31" x14ac:dyDescent="0.45">
      <c r="A3" s="3" t="s">
        <v>0</v>
      </c>
      <c r="B3" t="s">
        <v>64</v>
      </c>
      <c r="D3" s="3" t="s">
        <v>69</v>
      </c>
      <c r="E3" t="s">
        <v>70</v>
      </c>
      <c r="G3" s="3" t="s">
        <v>70</v>
      </c>
      <c r="H3" s="3" t="s">
        <v>0</v>
      </c>
      <c r="L3" s="3" t="s">
        <v>72</v>
      </c>
      <c r="M3" t="s">
        <v>70</v>
      </c>
      <c r="N3" t="s">
        <v>71</v>
      </c>
      <c r="Q3" s="3" t="s">
        <v>32</v>
      </c>
      <c r="R3" t="s">
        <v>74</v>
      </c>
      <c r="U3" s="3" t="s">
        <v>70</v>
      </c>
      <c r="V3" s="3" t="s">
        <v>73</v>
      </c>
    </row>
    <row r="4" spans="1:31" x14ac:dyDescent="0.45">
      <c r="A4" s="4" t="s">
        <v>6</v>
      </c>
      <c r="B4" s="6">
        <v>6642000</v>
      </c>
      <c r="D4" s="4" t="s">
        <v>65</v>
      </c>
      <c r="E4" s="6">
        <v>16393200</v>
      </c>
      <c r="G4" s="3" t="s">
        <v>69</v>
      </c>
      <c r="H4" t="s">
        <v>6</v>
      </c>
      <c r="I4" t="s">
        <v>2</v>
      </c>
      <c r="J4" t="s">
        <v>63</v>
      </c>
      <c r="L4" s="4" t="s">
        <v>36</v>
      </c>
      <c r="M4" s="6">
        <v>8118000</v>
      </c>
      <c r="N4" s="6">
        <v>9.5769230769230766</v>
      </c>
      <c r="Q4" s="4" t="s">
        <v>19</v>
      </c>
      <c r="R4" s="6">
        <v>2000</v>
      </c>
      <c r="U4" s="3" t="s">
        <v>69</v>
      </c>
      <c r="V4" t="s">
        <v>36</v>
      </c>
      <c r="W4" t="s">
        <v>38</v>
      </c>
      <c r="X4" t="s">
        <v>37</v>
      </c>
      <c r="Y4" t="s">
        <v>50</v>
      </c>
      <c r="Z4" t="s">
        <v>48</v>
      </c>
      <c r="AA4" t="s">
        <v>42</v>
      </c>
      <c r="AB4" t="s">
        <v>40</v>
      </c>
      <c r="AC4" t="s">
        <v>43</v>
      </c>
      <c r="AD4" t="s">
        <v>47</v>
      </c>
      <c r="AE4" t="s">
        <v>63</v>
      </c>
    </row>
    <row r="5" spans="1:31" x14ac:dyDescent="0.45">
      <c r="A5" s="4" t="s">
        <v>2</v>
      </c>
      <c r="B5" s="6">
        <v>17389200</v>
      </c>
      <c r="D5" s="4" t="s">
        <v>66</v>
      </c>
      <c r="E5" s="6">
        <v>7050000</v>
      </c>
      <c r="G5" s="4" t="s">
        <v>65</v>
      </c>
      <c r="H5" s="6">
        <v>4218000</v>
      </c>
      <c r="I5" s="6">
        <v>12175200</v>
      </c>
      <c r="J5" s="6">
        <v>16393200</v>
      </c>
      <c r="L5" s="4" t="s">
        <v>38</v>
      </c>
      <c r="M5" s="6">
        <v>120000</v>
      </c>
      <c r="N5" s="6">
        <v>2</v>
      </c>
      <c r="Q5" s="4" t="s">
        <v>53</v>
      </c>
      <c r="R5" s="6">
        <v>5513.75</v>
      </c>
      <c r="U5" s="4" t="s">
        <v>65</v>
      </c>
      <c r="V5" s="6">
        <v>5622000</v>
      </c>
      <c r="W5" s="6">
        <v>120000</v>
      </c>
      <c r="X5" s="6">
        <v>1200000</v>
      </c>
      <c r="Y5" s="6">
        <v>768000</v>
      </c>
      <c r="Z5" s="6">
        <v>3637200</v>
      </c>
      <c r="AA5" s="6">
        <v>1410000</v>
      </c>
      <c r="AB5" s="6">
        <v>360000</v>
      </c>
      <c r="AC5" s="6"/>
      <c r="AD5" s="6">
        <v>3276000</v>
      </c>
      <c r="AE5" s="6">
        <v>16393200</v>
      </c>
    </row>
    <row r="6" spans="1:31" x14ac:dyDescent="0.45">
      <c r="A6" s="4" t="s">
        <v>63</v>
      </c>
      <c r="B6" s="6">
        <v>24031200</v>
      </c>
      <c r="D6" s="4" t="s">
        <v>67</v>
      </c>
      <c r="E6" s="6">
        <v>480000</v>
      </c>
      <c r="G6" s="4" t="s">
        <v>66</v>
      </c>
      <c r="H6" s="6">
        <v>1944000</v>
      </c>
      <c r="I6" s="6">
        <v>5106000</v>
      </c>
      <c r="J6" s="6">
        <v>7050000</v>
      </c>
      <c r="L6" s="4" t="s">
        <v>37</v>
      </c>
      <c r="M6" s="6">
        <v>1200000</v>
      </c>
      <c r="N6" s="6">
        <v>6.75</v>
      </c>
      <c r="Q6" s="4" t="s">
        <v>54</v>
      </c>
      <c r="R6" s="6">
        <v>2510</v>
      </c>
      <c r="U6" s="4" t="s">
        <v>66</v>
      </c>
      <c r="V6" s="6">
        <v>1968000</v>
      </c>
      <c r="W6" s="6"/>
      <c r="X6" s="6"/>
      <c r="Y6" s="6">
        <v>462000</v>
      </c>
      <c r="Z6" s="6">
        <v>948000</v>
      </c>
      <c r="AA6" s="6">
        <v>1020000</v>
      </c>
      <c r="AB6" s="6"/>
      <c r="AC6" s="6">
        <v>12000</v>
      </c>
      <c r="AD6" s="6">
        <v>2640000</v>
      </c>
      <c r="AE6" s="6">
        <v>7050000</v>
      </c>
    </row>
    <row r="7" spans="1:31" x14ac:dyDescent="0.45">
      <c r="D7" s="4" t="s">
        <v>68</v>
      </c>
      <c r="E7" s="6">
        <v>108000</v>
      </c>
      <c r="G7" s="4" t="s">
        <v>67</v>
      </c>
      <c r="H7" s="6">
        <v>480000</v>
      </c>
      <c r="I7" s="6"/>
      <c r="J7" s="6">
        <v>480000</v>
      </c>
      <c r="L7" s="4" t="s">
        <v>50</v>
      </c>
      <c r="M7" s="6">
        <v>1230000</v>
      </c>
      <c r="N7" s="6">
        <v>5.0909090909090908</v>
      </c>
      <c r="Q7" s="4" t="s">
        <v>55</v>
      </c>
      <c r="R7" s="6">
        <v>2600</v>
      </c>
      <c r="U7" s="4" t="s">
        <v>67</v>
      </c>
      <c r="V7" s="6">
        <v>480000</v>
      </c>
      <c r="W7" s="6"/>
      <c r="X7" s="6"/>
      <c r="Y7" s="6"/>
      <c r="Z7" s="6"/>
      <c r="AA7" s="6"/>
      <c r="AB7" s="6"/>
      <c r="AC7" s="6"/>
      <c r="AD7" s="6"/>
      <c r="AE7" s="6">
        <v>480000</v>
      </c>
    </row>
    <row r="8" spans="1:31" x14ac:dyDescent="0.45">
      <c r="B8" s="9">
        <f>GETPIVOTDATA("Total Investment",$A$3)</f>
        <v>24031200</v>
      </c>
      <c r="D8" s="4" t="s">
        <v>63</v>
      </c>
      <c r="E8" s="6">
        <v>24031200</v>
      </c>
      <c r="G8" s="4" t="s">
        <v>68</v>
      </c>
      <c r="H8" s="6"/>
      <c r="I8" s="6">
        <v>108000</v>
      </c>
      <c r="J8" s="6">
        <v>108000</v>
      </c>
      <c r="L8" s="4" t="s">
        <v>48</v>
      </c>
      <c r="M8" s="6">
        <v>4585200</v>
      </c>
      <c r="N8" s="6">
        <v>7.3448275862068968</v>
      </c>
      <c r="Q8" s="4" t="s">
        <v>52</v>
      </c>
      <c r="R8" s="6">
        <v>2125</v>
      </c>
      <c r="U8" s="4" t="s">
        <v>68</v>
      </c>
      <c r="V8" s="6">
        <v>48000</v>
      </c>
      <c r="W8" s="6"/>
      <c r="X8" s="6"/>
      <c r="Y8" s="6"/>
      <c r="Z8" s="6"/>
      <c r="AA8" s="6"/>
      <c r="AB8" s="6"/>
      <c r="AC8" s="6"/>
      <c r="AD8" s="6">
        <v>60000</v>
      </c>
      <c r="AE8" s="6">
        <v>108000</v>
      </c>
    </row>
    <row r="9" spans="1:31" x14ac:dyDescent="0.45">
      <c r="G9" s="4" t="s">
        <v>63</v>
      </c>
      <c r="H9" s="6">
        <v>6642000</v>
      </c>
      <c r="I9" s="6">
        <v>17389200</v>
      </c>
      <c r="J9" s="6">
        <v>24031200</v>
      </c>
      <c r="L9" s="4" t="s">
        <v>42</v>
      </c>
      <c r="M9" s="6">
        <v>2430000</v>
      </c>
      <c r="N9" s="6">
        <v>8.75</v>
      </c>
      <c r="Q9" s="4" t="s">
        <v>14</v>
      </c>
      <c r="R9" s="6">
        <v>3238.4615384615386</v>
      </c>
      <c r="U9" s="4" t="s">
        <v>63</v>
      </c>
      <c r="V9" s="6">
        <v>8118000</v>
      </c>
      <c r="W9" s="6">
        <v>120000</v>
      </c>
      <c r="X9" s="6">
        <v>1200000</v>
      </c>
      <c r="Y9" s="6">
        <v>1230000</v>
      </c>
      <c r="Z9" s="6">
        <v>4585200</v>
      </c>
      <c r="AA9" s="6">
        <v>2430000</v>
      </c>
      <c r="AB9" s="6">
        <v>360000</v>
      </c>
      <c r="AC9" s="6">
        <v>12000</v>
      </c>
      <c r="AD9" s="6">
        <v>5976000</v>
      </c>
      <c r="AE9" s="6">
        <v>24031200</v>
      </c>
    </row>
    <row r="10" spans="1:31" x14ac:dyDescent="0.45">
      <c r="L10" s="4" t="s">
        <v>40</v>
      </c>
      <c r="M10" s="6">
        <v>360000</v>
      </c>
      <c r="N10" s="6">
        <v>15</v>
      </c>
      <c r="Q10" s="4" t="s">
        <v>21</v>
      </c>
      <c r="R10" s="6">
        <v>4250</v>
      </c>
    </row>
    <row r="11" spans="1:31" x14ac:dyDescent="0.45">
      <c r="L11" s="4" t="s">
        <v>43</v>
      </c>
      <c r="M11" s="6">
        <v>12000</v>
      </c>
      <c r="N11" s="6">
        <v>1</v>
      </c>
      <c r="Q11" s="4" t="s">
        <v>5</v>
      </c>
      <c r="R11" s="6">
        <v>2042.8571428571429</v>
      </c>
    </row>
    <row r="12" spans="1:31" x14ac:dyDescent="0.45">
      <c r="L12" s="4" t="s">
        <v>47</v>
      </c>
      <c r="M12" s="6">
        <v>5976000</v>
      </c>
      <c r="N12" s="6">
        <v>8.3636363636363633</v>
      </c>
      <c r="Q12" s="4" t="s">
        <v>63</v>
      </c>
      <c r="R12" s="6">
        <v>2892.0202020202019</v>
      </c>
    </row>
    <row r="13" spans="1:31" x14ac:dyDescent="0.45">
      <c r="G13" s="7" t="s">
        <v>70</v>
      </c>
      <c r="H13" s="7" t="s">
        <v>0</v>
      </c>
      <c r="I13" s="7"/>
      <c r="J13" s="7"/>
      <c r="L13" s="4" t="s">
        <v>63</v>
      </c>
      <c r="M13" s="6">
        <v>24031200</v>
      </c>
      <c r="N13" s="6">
        <v>7.8989898989898988</v>
      </c>
    </row>
    <row r="14" spans="1:31" x14ac:dyDescent="0.45">
      <c r="G14" s="5" t="s">
        <v>69</v>
      </c>
      <c r="H14" s="5" t="s">
        <v>6</v>
      </c>
      <c r="I14" s="5" t="s">
        <v>2</v>
      </c>
      <c r="J14" s="5" t="s">
        <v>63</v>
      </c>
      <c r="R14" s="9">
        <f>GETPIVOTDATA("Investment per month",$Q$3)</f>
        <v>2892.0202020202019</v>
      </c>
    </row>
    <row r="15" spans="1:31" x14ac:dyDescent="0.45">
      <c r="G15" s="4" t="s">
        <v>65</v>
      </c>
      <c r="H15" s="9">
        <f>GETPIVOTDATA("Total Investment",$G$3,"Gender","Female","Age",G5)</f>
        <v>4218000</v>
      </c>
      <c r="I15" s="9">
        <f>GETPIVOTDATA("Total Investment",$G$3,"Gender","Male","Age",G5)</f>
        <v>12175200</v>
      </c>
      <c r="J15">
        <f>GETPIVOTDATA("Total Investment",$G$3,"Age",G5)</f>
        <v>16393200</v>
      </c>
      <c r="N15" s="8">
        <f>GETPIVOTDATA("Average of Duration to save (in Years) ",$L$3)</f>
        <v>7.8989898989898988</v>
      </c>
    </row>
    <row r="16" spans="1:31" x14ac:dyDescent="0.45">
      <c r="G16" s="4" t="s">
        <v>66</v>
      </c>
      <c r="H16" s="9">
        <f t="shared" ref="H16:H17" si="0">GETPIVOTDATA("Total Investment",$G$3,"Gender","Female","Age",G6)</f>
        <v>1944000</v>
      </c>
      <c r="I16" s="9">
        <f t="shared" ref="I16:I18" si="1">GETPIVOTDATA("Total Investment",$G$3,"Gender","Male","Age",G6)</f>
        <v>5106000</v>
      </c>
      <c r="J16">
        <f t="shared" ref="J16:J18" si="2">GETPIVOTDATA("Total Investment",$G$3,"Age",G6)</f>
        <v>7050000</v>
      </c>
    </row>
    <row r="17" spans="7:27" x14ac:dyDescent="0.45">
      <c r="G17" s="4" t="s">
        <v>67</v>
      </c>
      <c r="H17" s="9">
        <f t="shared" si="0"/>
        <v>480000</v>
      </c>
      <c r="I17" s="9"/>
      <c r="J17">
        <f t="shared" si="2"/>
        <v>480000</v>
      </c>
      <c r="L17" s="5" t="s">
        <v>72</v>
      </c>
      <c r="M17" s="5" t="s">
        <v>70</v>
      </c>
      <c r="N17" s="5" t="s">
        <v>71</v>
      </c>
      <c r="Q17" s="3" t="s">
        <v>75</v>
      </c>
      <c r="R17" s="3" t="s">
        <v>73</v>
      </c>
    </row>
    <row r="18" spans="7:27" x14ac:dyDescent="0.45">
      <c r="G18" s="4" t="s">
        <v>68</v>
      </c>
      <c r="H18" s="9"/>
      <c r="I18" s="9">
        <f t="shared" si="1"/>
        <v>108000</v>
      </c>
      <c r="J18">
        <f t="shared" si="2"/>
        <v>108000</v>
      </c>
      <c r="L18" s="4" t="s">
        <v>36</v>
      </c>
      <c r="M18" s="9">
        <f>GETPIVOTDATA("Total Investments",$L$3,"investment type",L4)</f>
        <v>8118000</v>
      </c>
      <c r="N18" s="8">
        <f>GETPIVOTDATA("Average of Duration to save (in Years) ",$L$3,"investment type",L4)</f>
        <v>9.5769230769230766</v>
      </c>
      <c r="Q18" s="3" t="s">
        <v>72</v>
      </c>
      <c r="R18" t="s">
        <v>36</v>
      </c>
      <c r="S18" t="s">
        <v>38</v>
      </c>
      <c r="T18" t="s">
        <v>37</v>
      </c>
      <c r="U18" t="s">
        <v>50</v>
      </c>
      <c r="V18" t="s">
        <v>48</v>
      </c>
      <c r="W18" t="s">
        <v>42</v>
      </c>
      <c r="X18" t="s">
        <v>40</v>
      </c>
      <c r="Y18" t="s">
        <v>43</v>
      </c>
      <c r="Z18" t="s">
        <v>47</v>
      </c>
      <c r="AA18" t="s">
        <v>63</v>
      </c>
    </row>
    <row r="19" spans="7:27" x14ac:dyDescent="0.45">
      <c r="H19">
        <f>GETPIVOTDATA("Total Investment",$G$3,"Gender",H4)</f>
        <v>6642000</v>
      </c>
      <c r="I19">
        <f>GETPIVOTDATA("Total Investment",$G$3,"Gender",I4)</f>
        <v>17389200</v>
      </c>
      <c r="J19">
        <f>GETPIVOTDATA("Total Investment",$G$3)</f>
        <v>24031200</v>
      </c>
      <c r="L19" s="4" t="s">
        <v>47</v>
      </c>
      <c r="M19" s="9">
        <f t="shared" ref="M19:M26" si="3">GETPIVOTDATA("Total Investments",$L$3,"investment type",L5)</f>
        <v>120000</v>
      </c>
      <c r="N19" s="8">
        <f t="shared" ref="N19:N26" si="4">GETPIVOTDATA("Average of Duration to save (in Years) ",$L$3,"investment type",L5)</f>
        <v>2</v>
      </c>
      <c r="Q19" s="4" t="s">
        <v>6</v>
      </c>
      <c r="R19" s="6">
        <v>2364000</v>
      </c>
      <c r="S19" s="6">
        <v>120000</v>
      </c>
      <c r="T19" s="6"/>
      <c r="U19" s="6">
        <v>828000</v>
      </c>
      <c r="V19" s="6">
        <v>294000</v>
      </c>
      <c r="W19" s="6">
        <v>360000</v>
      </c>
      <c r="X19" s="6"/>
      <c r="Y19" s="6">
        <v>12000</v>
      </c>
      <c r="Z19" s="6">
        <v>2664000</v>
      </c>
      <c r="AA19" s="6">
        <v>6642000</v>
      </c>
    </row>
    <row r="20" spans="7:27" x14ac:dyDescent="0.45">
      <c r="L20" s="4" t="s">
        <v>48</v>
      </c>
      <c r="M20" s="9">
        <f t="shared" si="3"/>
        <v>1200000</v>
      </c>
      <c r="N20" s="8">
        <f t="shared" si="4"/>
        <v>6.75</v>
      </c>
      <c r="Q20" s="4" t="s">
        <v>2</v>
      </c>
      <c r="R20" s="6">
        <v>5754000</v>
      </c>
      <c r="S20" s="6"/>
      <c r="T20" s="6">
        <v>1200000</v>
      </c>
      <c r="U20" s="6">
        <v>402000</v>
      </c>
      <c r="V20" s="6">
        <v>4291200</v>
      </c>
      <c r="W20" s="6">
        <v>2070000</v>
      </c>
      <c r="X20" s="6">
        <v>360000</v>
      </c>
      <c r="Y20" s="6"/>
      <c r="Z20" s="6">
        <v>3312000</v>
      </c>
      <c r="AA20" s="6">
        <v>17389200</v>
      </c>
    </row>
    <row r="21" spans="7:27" x14ac:dyDescent="0.45">
      <c r="L21" s="4" t="s">
        <v>42</v>
      </c>
      <c r="M21" s="9">
        <f t="shared" si="3"/>
        <v>1230000</v>
      </c>
      <c r="N21" s="8">
        <f t="shared" si="4"/>
        <v>5.0909090909090908</v>
      </c>
      <c r="Q21" s="4" t="s">
        <v>63</v>
      </c>
      <c r="R21" s="6">
        <v>8118000</v>
      </c>
      <c r="S21" s="6">
        <v>120000</v>
      </c>
      <c r="T21" s="6">
        <v>1200000</v>
      </c>
      <c r="U21" s="6">
        <v>1230000</v>
      </c>
      <c r="V21" s="6">
        <v>4585200</v>
      </c>
      <c r="W21" s="6">
        <v>2430000</v>
      </c>
      <c r="X21" s="6">
        <v>360000</v>
      </c>
      <c r="Y21" s="6">
        <v>12000</v>
      </c>
      <c r="Z21" s="6">
        <v>5976000</v>
      </c>
      <c r="AA21" s="6">
        <v>24031200</v>
      </c>
    </row>
    <row r="22" spans="7:27" x14ac:dyDescent="0.45">
      <c r="L22" s="4" t="s">
        <v>50</v>
      </c>
      <c r="M22" s="9">
        <f t="shared" si="3"/>
        <v>4585200</v>
      </c>
      <c r="N22" s="8">
        <f t="shared" si="4"/>
        <v>7.3448275862068968</v>
      </c>
    </row>
    <row r="23" spans="7:27" x14ac:dyDescent="0.45">
      <c r="L23" s="4" t="s">
        <v>37</v>
      </c>
      <c r="M23" s="9">
        <f t="shared" si="3"/>
        <v>2430000</v>
      </c>
      <c r="N23" s="8">
        <f t="shared" si="4"/>
        <v>8.75</v>
      </c>
    </row>
    <row r="24" spans="7:27" x14ac:dyDescent="0.45">
      <c r="L24" s="4" t="s">
        <v>40</v>
      </c>
      <c r="M24" s="9">
        <f t="shared" si="3"/>
        <v>360000</v>
      </c>
      <c r="N24" s="8">
        <f t="shared" si="4"/>
        <v>15</v>
      </c>
      <c r="Q24" s="7" t="s">
        <v>75</v>
      </c>
      <c r="R24" s="7" t="s">
        <v>73</v>
      </c>
      <c r="S24" s="7"/>
      <c r="T24" s="7"/>
      <c r="U24" s="7"/>
      <c r="V24" s="7"/>
      <c r="W24" s="7"/>
      <c r="X24" s="7"/>
      <c r="Y24" s="7"/>
      <c r="Z24" s="7"/>
      <c r="AA24" s="7"/>
    </row>
    <row r="25" spans="7:27" x14ac:dyDescent="0.45">
      <c r="L25" s="4" t="s">
        <v>38</v>
      </c>
      <c r="M25" s="9">
        <f t="shared" si="3"/>
        <v>12000</v>
      </c>
      <c r="N25" s="8">
        <f t="shared" si="4"/>
        <v>1</v>
      </c>
      <c r="Q25" s="5" t="s">
        <v>75</v>
      </c>
      <c r="R25" s="5" t="s">
        <v>36</v>
      </c>
      <c r="S25" s="5" t="s">
        <v>38</v>
      </c>
      <c r="T25" s="5" t="s">
        <v>37</v>
      </c>
      <c r="U25" s="5" t="s">
        <v>50</v>
      </c>
      <c r="V25" s="5" t="s">
        <v>48</v>
      </c>
      <c r="W25" s="5" t="s">
        <v>42</v>
      </c>
      <c r="X25" s="5" t="s">
        <v>40</v>
      </c>
      <c r="Y25" s="5" t="s">
        <v>43</v>
      </c>
      <c r="Z25" s="5" t="s">
        <v>47</v>
      </c>
      <c r="AA25" s="5" t="s">
        <v>63</v>
      </c>
    </row>
    <row r="26" spans="7:27" x14ac:dyDescent="0.45">
      <c r="L26" s="4" t="s">
        <v>43</v>
      </c>
      <c r="M26" s="9">
        <f t="shared" si="3"/>
        <v>5976000</v>
      </c>
      <c r="N26" s="8">
        <f t="shared" si="4"/>
        <v>8.3636363636363633</v>
      </c>
      <c r="Q26" s="4" t="s">
        <v>6</v>
      </c>
      <c r="R26">
        <f>GETPIVOTDATA("Total Investment",$Q$17,"Gender","Female","investment type",R18)</f>
        <v>2364000</v>
      </c>
      <c r="S26">
        <f>GETPIVOTDATA("Total Investment",$Q$17,"Gender","Female","investment type",S18)</f>
        <v>120000</v>
      </c>
      <c r="T26">
        <f t="shared" ref="T26:Z26" si="5">GETPIVOTDATA("Total Investment",$Q$17,"Gender","Female","investment type",T18)</f>
        <v>0</v>
      </c>
      <c r="U26">
        <f t="shared" si="5"/>
        <v>828000</v>
      </c>
      <c r="V26">
        <f t="shared" si="5"/>
        <v>294000</v>
      </c>
      <c r="W26">
        <f t="shared" si="5"/>
        <v>360000</v>
      </c>
      <c r="X26">
        <f t="shared" si="5"/>
        <v>0</v>
      </c>
      <c r="Y26">
        <f t="shared" si="5"/>
        <v>12000</v>
      </c>
      <c r="Z26">
        <f t="shared" si="5"/>
        <v>2664000</v>
      </c>
      <c r="AA26">
        <f>GETPIVOTDATA("Total Investment",$Q$17,"Gender",Q19)</f>
        <v>6642000</v>
      </c>
    </row>
    <row r="27" spans="7:27" x14ac:dyDescent="0.45">
      <c r="Q27" s="4" t="s">
        <v>2</v>
      </c>
      <c r="R27">
        <f>GETPIVOTDATA("Total Investment",$Q$17,"Gender","Male","investment type",R18)</f>
        <v>5754000</v>
      </c>
      <c r="S27">
        <f t="shared" ref="S27:Z27" si="6">GETPIVOTDATA("Total Investment",$Q$17,"Gender","Male","investment type",S18)</f>
        <v>0</v>
      </c>
      <c r="T27">
        <f t="shared" si="6"/>
        <v>1200000</v>
      </c>
      <c r="U27">
        <f t="shared" si="6"/>
        <v>402000</v>
      </c>
      <c r="V27">
        <f t="shared" si="6"/>
        <v>4291200</v>
      </c>
      <c r="W27">
        <f t="shared" si="6"/>
        <v>2070000</v>
      </c>
      <c r="X27">
        <f t="shared" si="6"/>
        <v>360000</v>
      </c>
      <c r="Y27">
        <f t="shared" si="6"/>
        <v>0</v>
      </c>
      <c r="Z27">
        <f t="shared" si="6"/>
        <v>3312000</v>
      </c>
      <c r="AA27">
        <f>GETPIVOTDATA("Total Investment",$Q$17,"Gender",Q20)</f>
        <v>17389200</v>
      </c>
    </row>
    <row r="28" spans="7:27" x14ac:dyDescent="0.45">
      <c r="Q28" s="11" t="s">
        <v>63</v>
      </c>
      <c r="R28">
        <f>GETPIVOTDATA("Total Investment",$Q$17,"investment type",R18)</f>
        <v>8118000</v>
      </c>
      <c r="S28">
        <f t="shared" ref="S28:AA28" si="7">GETPIVOTDATA("Total Investment",$Q$17,"investment type",S18)</f>
        <v>120000</v>
      </c>
      <c r="T28">
        <f t="shared" si="7"/>
        <v>1200000</v>
      </c>
      <c r="U28">
        <f t="shared" si="7"/>
        <v>1230000</v>
      </c>
      <c r="V28">
        <f t="shared" si="7"/>
        <v>4585200</v>
      </c>
      <c r="W28">
        <f t="shared" si="7"/>
        <v>2430000</v>
      </c>
      <c r="X28">
        <f t="shared" si="7"/>
        <v>360000</v>
      </c>
      <c r="Y28">
        <f t="shared" si="7"/>
        <v>12000</v>
      </c>
      <c r="Z28">
        <f t="shared" si="7"/>
        <v>5976000</v>
      </c>
      <c r="AA28">
        <f>GETPIVOTDATA("Total Investment",$Q$17)</f>
        <v>24031200</v>
      </c>
    </row>
    <row r="33" spans="2:18" x14ac:dyDescent="0.45">
      <c r="L33" s="3" t="s">
        <v>72</v>
      </c>
      <c r="M33" t="s">
        <v>70</v>
      </c>
    </row>
    <row r="34" spans="2:18" x14ac:dyDescent="0.45">
      <c r="L34" s="4" t="s">
        <v>36</v>
      </c>
      <c r="M34" s="6">
        <v>8118000</v>
      </c>
      <c r="O34" s="3" t="s">
        <v>70</v>
      </c>
      <c r="P34" s="3" t="s">
        <v>76</v>
      </c>
    </row>
    <row r="35" spans="2:18" x14ac:dyDescent="0.45">
      <c r="B35" s="3" t="s">
        <v>64</v>
      </c>
      <c r="C35" s="3" t="s">
        <v>79</v>
      </c>
      <c r="L35" s="4" t="s">
        <v>38</v>
      </c>
      <c r="M35" s="6">
        <v>120000</v>
      </c>
      <c r="O35" s="3" t="s">
        <v>72</v>
      </c>
      <c r="P35" t="s">
        <v>57</v>
      </c>
      <c r="Q35" t="s">
        <v>58</v>
      </c>
      <c r="R35" t="s">
        <v>63</v>
      </c>
    </row>
    <row r="36" spans="2:18" x14ac:dyDescent="0.45">
      <c r="B36" s="3" t="s">
        <v>78</v>
      </c>
      <c r="C36" t="s">
        <v>58</v>
      </c>
      <c r="D36" t="s">
        <v>57</v>
      </c>
      <c r="E36" t="s">
        <v>63</v>
      </c>
      <c r="L36" s="4" t="s">
        <v>37</v>
      </c>
      <c r="M36" s="6">
        <v>1200000</v>
      </c>
      <c r="O36" s="4" t="s">
        <v>36</v>
      </c>
      <c r="P36" s="6">
        <v>6738000</v>
      </c>
      <c r="Q36" s="6">
        <v>1380000</v>
      </c>
      <c r="R36" s="6">
        <v>8118000</v>
      </c>
    </row>
    <row r="37" spans="2:18" x14ac:dyDescent="0.45">
      <c r="B37" s="4" t="s">
        <v>19</v>
      </c>
      <c r="C37" s="6">
        <v>72000</v>
      </c>
      <c r="D37" s="6"/>
      <c r="E37" s="6">
        <v>72000</v>
      </c>
      <c r="L37" s="4" t="s">
        <v>50</v>
      </c>
      <c r="M37" s="6">
        <v>1230000</v>
      </c>
      <c r="O37" s="4" t="s">
        <v>38</v>
      </c>
      <c r="P37" s="6"/>
      <c r="Q37" s="6">
        <v>120000</v>
      </c>
      <c r="R37" s="6">
        <v>120000</v>
      </c>
    </row>
    <row r="38" spans="2:18" x14ac:dyDescent="0.45">
      <c r="B38" s="4" t="s">
        <v>53</v>
      </c>
      <c r="C38" s="6">
        <v>1068000</v>
      </c>
      <c r="D38" s="6">
        <v>1621200</v>
      </c>
      <c r="E38" s="6">
        <v>2689200</v>
      </c>
      <c r="L38" s="4" t="s">
        <v>48</v>
      </c>
      <c r="M38" s="6">
        <v>4585200</v>
      </c>
      <c r="O38" s="4" t="s">
        <v>37</v>
      </c>
      <c r="P38" s="6">
        <v>180000</v>
      </c>
      <c r="Q38" s="6">
        <v>1020000</v>
      </c>
      <c r="R38" s="6">
        <v>1200000</v>
      </c>
    </row>
    <row r="39" spans="2:18" x14ac:dyDescent="0.45">
      <c r="B39" s="4" t="s">
        <v>54</v>
      </c>
      <c r="C39" s="6">
        <v>402000</v>
      </c>
      <c r="D39" s="6">
        <v>1740000</v>
      </c>
      <c r="E39" s="6">
        <v>2142000</v>
      </c>
      <c r="L39" s="4" t="s">
        <v>42</v>
      </c>
      <c r="M39" s="6">
        <v>2430000</v>
      </c>
      <c r="O39" s="4" t="s">
        <v>50</v>
      </c>
      <c r="P39" s="6">
        <v>948000</v>
      </c>
      <c r="Q39" s="6">
        <v>282000</v>
      </c>
      <c r="R39" s="6">
        <v>1230000</v>
      </c>
    </row>
    <row r="40" spans="2:18" x14ac:dyDescent="0.45">
      <c r="B40" s="4" t="s">
        <v>55</v>
      </c>
      <c r="C40" s="6">
        <v>1632000</v>
      </c>
      <c r="D40" s="6">
        <v>2886000</v>
      </c>
      <c r="E40" s="6">
        <v>4518000</v>
      </c>
      <c r="L40" s="4" t="s">
        <v>40</v>
      </c>
      <c r="M40" s="6">
        <v>360000</v>
      </c>
      <c r="O40" s="4" t="s">
        <v>48</v>
      </c>
      <c r="P40" s="6">
        <v>2683200</v>
      </c>
      <c r="Q40" s="6">
        <v>1902000</v>
      </c>
      <c r="R40" s="6">
        <v>4585200</v>
      </c>
    </row>
    <row r="41" spans="2:18" x14ac:dyDescent="0.45">
      <c r="B41" s="4" t="s">
        <v>52</v>
      </c>
      <c r="C41" s="6">
        <v>30000</v>
      </c>
      <c r="D41" s="6">
        <v>984000</v>
      </c>
      <c r="E41" s="6">
        <v>1014000</v>
      </c>
      <c r="L41" s="4" t="s">
        <v>43</v>
      </c>
      <c r="M41" s="6">
        <v>12000</v>
      </c>
      <c r="O41" s="4" t="s">
        <v>42</v>
      </c>
      <c r="P41" s="6">
        <v>2430000</v>
      </c>
      <c r="Q41" s="6"/>
      <c r="R41" s="6">
        <v>2430000</v>
      </c>
    </row>
    <row r="42" spans="2:18" x14ac:dyDescent="0.45">
      <c r="B42" s="4" t="s">
        <v>14</v>
      </c>
      <c r="C42" s="6">
        <v>3174000</v>
      </c>
      <c r="D42" s="6">
        <v>1374000</v>
      </c>
      <c r="E42" s="6">
        <v>4548000</v>
      </c>
      <c r="L42" s="4" t="s">
        <v>47</v>
      </c>
      <c r="M42" s="6">
        <v>5976000</v>
      </c>
      <c r="O42" s="4" t="s">
        <v>40</v>
      </c>
      <c r="P42" s="6">
        <v>360000</v>
      </c>
      <c r="Q42" s="6"/>
      <c r="R42" s="6">
        <v>360000</v>
      </c>
    </row>
    <row r="43" spans="2:18" x14ac:dyDescent="0.45">
      <c r="B43" s="4" t="s">
        <v>21</v>
      </c>
      <c r="C43" s="6"/>
      <c r="D43" s="6">
        <v>3330000</v>
      </c>
      <c r="E43" s="6">
        <v>3330000</v>
      </c>
      <c r="L43" s="4" t="s">
        <v>63</v>
      </c>
      <c r="M43" s="6">
        <v>24031200</v>
      </c>
      <c r="O43" s="4" t="s">
        <v>43</v>
      </c>
      <c r="P43" s="6"/>
      <c r="Q43" s="6">
        <v>12000</v>
      </c>
      <c r="R43" s="6">
        <v>12000</v>
      </c>
    </row>
    <row r="44" spans="2:18" x14ac:dyDescent="0.45">
      <c r="B44" s="4" t="s">
        <v>5</v>
      </c>
      <c r="C44" s="6">
        <v>1080000</v>
      </c>
      <c r="D44" s="6">
        <v>4638000</v>
      </c>
      <c r="E44" s="6">
        <v>5718000</v>
      </c>
      <c r="O44" s="4" t="s">
        <v>47</v>
      </c>
      <c r="P44" s="6">
        <v>3234000</v>
      </c>
      <c r="Q44" s="6">
        <v>2742000</v>
      </c>
      <c r="R44" s="6">
        <v>5976000</v>
      </c>
    </row>
    <row r="45" spans="2:18" x14ac:dyDescent="0.45">
      <c r="B45" s="4" t="s">
        <v>63</v>
      </c>
      <c r="C45" s="6">
        <v>7458000</v>
      </c>
      <c r="D45" s="6">
        <v>16573200</v>
      </c>
      <c r="E45" s="6">
        <v>24031200</v>
      </c>
      <c r="O45" s="4" t="s">
        <v>63</v>
      </c>
      <c r="P45" s="6">
        <v>16573200</v>
      </c>
      <c r="Q45" s="6">
        <v>7458000</v>
      </c>
      <c r="R45" s="6">
        <v>24031200</v>
      </c>
    </row>
    <row r="46" spans="2:18" x14ac:dyDescent="0.45">
      <c r="L46" s="5" t="s">
        <v>72</v>
      </c>
      <c r="M46" t="s">
        <v>61</v>
      </c>
    </row>
    <row r="47" spans="2:18" x14ac:dyDescent="0.45">
      <c r="L47" s="4" t="s">
        <v>36</v>
      </c>
      <c r="M47" s="9">
        <f>GETPIVOTDATA("Total Investment",$L$33,"investment type",L34)</f>
        <v>8118000</v>
      </c>
    </row>
    <row r="48" spans="2:18" x14ac:dyDescent="0.45">
      <c r="L48" s="4" t="s">
        <v>38</v>
      </c>
      <c r="M48" s="9">
        <f t="shared" ref="M48:M55" si="8">GETPIVOTDATA("Total Investment",$L$33,"investment type",L35)</f>
        <v>120000</v>
      </c>
    </row>
    <row r="49" spans="2:16" x14ac:dyDescent="0.45">
      <c r="L49" s="4" t="s">
        <v>37</v>
      </c>
      <c r="M49" s="9">
        <f t="shared" si="8"/>
        <v>1200000</v>
      </c>
    </row>
    <row r="50" spans="2:16" x14ac:dyDescent="0.45">
      <c r="L50" s="4" t="s">
        <v>50</v>
      </c>
      <c r="M50" s="9">
        <f t="shared" si="8"/>
        <v>1230000</v>
      </c>
    </row>
    <row r="51" spans="2:16" x14ac:dyDescent="0.45">
      <c r="L51" s="4" t="s">
        <v>48</v>
      </c>
      <c r="M51" s="9">
        <f t="shared" si="8"/>
        <v>4585200</v>
      </c>
    </row>
    <row r="52" spans="2:16" x14ac:dyDescent="0.45">
      <c r="L52" s="4" t="s">
        <v>42</v>
      </c>
      <c r="M52" s="9">
        <f t="shared" si="8"/>
        <v>2430000</v>
      </c>
    </row>
    <row r="53" spans="2:16" x14ac:dyDescent="0.45">
      <c r="L53" s="4" t="s">
        <v>40</v>
      </c>
      <c r="M53" s="9">
        <f t="shared" si="8"/>
        <v>360000</v>
      </c>
    </row>
    <row r="54" spans="2:16" x14ac:dyDescent="0.45">
      <c r="L54" s="4" t="s">
        <v>43</v>
      </c>
      <c r="M54" s="9">
        <f t="shared" si="8"/>
        <v>12000</v>
      </c>
    </row>
    <row r="55" spans="2:16" x14ac:dyDescent="0.45">
      <c r="L55" s="4" t="s">
        <v>47</v>
      </c>
      <c r="M55" s="9">
        <f t="shared" si="8"/>
        <v>5976000</v>
      </c>
    </row>
    <row r="58" spans="2:16" x14ac:dyDescent="0.45">
      <c r="B58" s="3" t="s">
        <v>64</v>
      </c>
      <c r="C58" s="3" t="s">
        <v>78</v>
      </c>
    </row>
    <row r="59" spans="2:16" x14ac:dyDescent="0.45">
      <c r="B59" s="3" t="s">
        <v>79</v>
      </c>
      <c r="C59" t="s">
        <v>19</v>
      </c>
      <c r="D59" t="s">
        <v>53</v>
      </c>
      <c r="E59" t="s">
        <v>54</v>
      </c>
      <c r="F59" t="s">
        <v>55</v>
      </c>
      <c r="G59" t="s">
        <v>52</v>
      </c>
      <c r="H59" t="s">
        <v>14</v>
      </c>
      <c r="I59" t="s">
        <v>21</v>
      </c>
      <c r="J59" t="s">
        <v>5</v>
      </c>
      <c r="K59" t="s">
        <v>63</v>
      </c>
    </row>
    <row r="60" spans="2:16" x14ac:dyDescent="0.45">
      <c r="B60" s="4" t="s">
        <v>58</v>
      </c>
      <c r="C60" s="6">
        <v>72000</v>
      </c>
      <c r="D60" s="6">
        <v>1068000</v>
      </c>
      <c r="E60" s="6">
        <v>402000</v>
      </c>
      <c r="F60" s="6">
        <v>1632000</v>
      </c>
      <c r="G60" s="6">
        <v>30000</v>
      </c>
      <c r="H60" s="6">
        <v>3174000</v>
      </c>
      <c r="I60" s="6"/>
      <c r="J60" s="6">
        <v>1080000</v>
      </c>
      <c r="K60" s="6">
        <v>7458000</v>
      </c>
    </row>
    <row r="61" spans="2:16" x14ac:dyDescent="0.45">
      <c r="B61" s="4" t="s">
        <v>57</v>
      </c>
      <c r="C61" s="6"/>
      <c r="D61" s="6">
        <v>1621200</v>
      </c>
      <c r="E61" s="6">
        <v>1740000</v>
      </c>
      <c r="F61" s="6">
        <v>2886000</v>
      </c>
      <c r="G61" s="6">
        <v>984000</v>
      </c>
      <c r="H61" s="6">
        <v>1374000</v>
      </c>
      <c r="I61" s="6">
        <v>3330000</v>
      </c>
      <c r="J61" s="6">
        <v>4638000</v>
      </c>
      <c r="K61" s="6">
        <v>16573200</v>
      </c>
    </row>
    <row r="62" spans="2:16" x14ac:dyDescent="0.45">
      <c r="B62" s="4" t="s">
        <v>63</v>
      </c>
      <c r="C62" s="6">
        <v>72000</v>
      </c>
      <c r="D62" s="6">
        <v>2689200</v>
      </c>
      <c r="E62" s="6">
        <v>2142000</v>
      </c>
      <c r="F62" s="6">
        <v>4518000</v>
      </c>
      <c r="G62" s="6">
        <v>1014000</v>
      </c>
      <c r="H62" s="6">
        <v>4548000</v>
      </c>
      <c r="I62" s="6">
        <v>3330000</v>
      </c>
      <c r="J62" s="6">
        <v>5718000</v>
      </c>
      <c r="K62" s="6">
        <v>24031200</v>
      </c>
    </row>
    <row r="64" spans="2:16" x14ac:dyDescent="0.45">
      <c r="L64" s="3" t="s">
        <v>72</v>
      </c>
      <c r="M64" t="s">
        <v>71</v>
      </c>
      <c r="O64" s="5" t="s">
        <v>72</v>
      </c>
      <c r="P64" s="5" t="s">
        <v>71</v>
      </c>
    </row>
    <row r="65" spans="2:16" x14ac:dyDescent="0.45">
      <c r="L65" s="4" t="s">
        <v>36</v>
      </c>
      <c r="M65" s="6">
        <v>9.5769230769230766</v>
      </c>
      <c r="O65" s="4" t="s">
        <v>36</v>
      </c>
      <c r="P65" s="9">
        <f>GETPIVOTDATA("Duration to save (in Years) ",$L$64,"investment type",L65)</f>
        <v>9.5769230769230766</v>
      </c>
    </row>
    <row r="66" spans="2:16" x14ac:dyDescent="0.45">
      <c r="L66" s="4" t="s">
        <v>38</v>
      </c>
      <c r="M66" s="6">
        <v>2</v>
      </c>
      <c r="O66" s="4" t="s">
        <v>38</v>
      </c>
      <c r="P66" s="9">
        <f t="shared" ref="P66:P73" si="9">GETPIVOTDATA("Duration to save (in Years) ",$L$64,"investment type",L66)</f>
        <v>2</v>
      </c>
    </row>
    <row r="67" spans="2:16" x14ac:dyDescent="0.45">
      <c r="L67" s="4" t="s">
        <v>37</v>
      </c>
      <c r="M67" s="6">
        <v>6.75</v>
      </c>
      <c r="O67" s="4" t="s">
        <v>37</v>
      </c>
      <c r="P67" s="9">
        <f t="shared" si="9"/>
        <v>6.75</v>
      </c>
    </row>
    <row r="68" spans="2:16" x14ac:dyDescent="0.45">
      <c r="L68" s="4" t="s">
        <v>50</v>
      </c>
      <c r="M68" s="6">
        <v>5.0909090909090908</v>
      </c>
      <c r="O68" s="4" t="s">
        <v>50</v>
      </c>
      <c r="P68" s="9">
        <f t="shared" si="9"/>
        <v>5.0909090909090908</v>
      </c>
    </row>
    <row r="69" spans="2:16" x14ac:dyDescent="0.45">
      <c r="L69" s="4" t="s">
        <v>48</v>
      </c>
      <c r="M69" s="6">
        <v>7.3448275862068968</v>
      </c>
      <c r="O69" s="4" t="s">
        <v>48</v>
      </c>
      <c r="P69" s="9">
        <f t="shared" si="9"/>
        <v>7.3448275862068968</v>
      </c>
    </row>
    <row r="70" spans="2:16" x14ac:dyDescent="0.45">
      <c r="L70" s="4" t="s">
        <v>42</v>
      </c>
      <c r="M70" s="6">
        <v>8.75</v>
      </c>
      <c r="O70" s="4" t="s">
        <v>42</v>
      </c>
      <c r="P70" s="9">
        <f t="shared" si="9"/>
        <v>8.75</v>
      </c>
    </row>
    <row r="71" spans="2:16" x14ac:dyDescent="0.45">
      <c r="L71" s="4" t="s">
        <v>40</v>
      </c>
      <c r="M71" s="6">
        <v>15</v>
      </c>
      <c r="O71" s="4" t="s">
        <v>40</v>
      </c>
      <c r="P71" s="9">
        <f t="shared" si="9"/>
        <v>15</v>
      </c>
    </row>
    <row r="72" spans="2:16" x14ac:dyDescent="0.45">
      <c r="B72" s="3" t="s">
        <v>80</v>
      </c>
      <c r="C72" t="s">
        <v>70</v>
      </c>
      <c r="E72" s="5" t="s">
        <v>80</v>
      </c>
      <c r="F72" s="5" t="s">
        <v>70</v>
      </c>
      <c r="L72" s="4" t="s">
        <v>43</v>
      </c>
      <c r="M72" s="6">
        <v>1</v>
      </c>
      <c r="O72" s="4" t="s">
        <v>43</v>
      </c>
      <c r="P72" s="9">
        <f t="shared" si="9"/>
        <v>1</v>
      </c>
    </row>
    <row r="73" spans="2:16" x14ac:dyDescent="0.45">
      <c r="B73" s="4" t="s">
        <v>10</v>
      </c>
      <c r="C73" s="6">
        <v>1747200</v>
      </c>
      <c r="E73" s="4" t="s">
        <v>10</v>
      </c>
      <c r="F73" s="9">
        <f>GETPIVOTDATA("Total Investment",$B$72,"Resources used",B73)</f>
        <v>1747200</v>
      </c>
      <c r="L73" s="4" t="s">
        <v>47</v>
      </c>
      <c r="M73" s="6">
        <v>8.3636363636363633</v>
      </c>
      <c r="O73" s="4" t="s">
        <v>47</v>
      </c>
      <c r="P73" s="9">
        <f t="shared" si="9"/>
        <v>8.3636363636363633</v>
      </c>
    </row>
    <row r="74" spans="2:16" x14ac:dyDescent="0.45">
      <c r="B74" s="4" t="s">
        <v>24</v>
      </c>
      <c r="C74" s="6">
        <v>48000</v>
      </c>
      <c r="E74" s="4" t="s">
        <v>24</v>
      </c>
      <c r="F74" s="9">
        <f t="shared" ref="F74:F78" si="10">GETPIVOTDATA("Total Investment",$B$72,"Resources used",B74)</f>
        <v>48000</v>
      </c>
      <c r="L74" s="4" t="s">
        <v>63</v>
      </c>
      <c r="M74" s="6">
        <v>7.8989898989898988</v>
      </c>
    </row>
    <row r="75" spans="2:16" x14ac:dyDescent="0.45">
      <c r="B75" s="4" t="s">
        <v>4</v>
      </c>
      <c r="C75" s="6">
        <v>11088000</v>
      </c>
      <c r="E75" s="4" t="s">
        <v>4</v>
      </c>
      <c r="F75" s="9">
        <f t="shared" si="10"/>
        <v>11088000</v>
      </c>
    </row>
    <row r="76" spans="2:16" x14ac:dyDescent="0.45">
      <c r="B76" s="4" t="s">
        <v>26</v>
      </c>
      <c r="C76" s="6">
        <v>900000</v>
      </c>
      <c r="E76" s="4" t="s">
        <v>26</v>
      </c>
      <c r="F76" s="9">
        <f t="shared" si="10"/>
        <v>900000</v>
      </c>
    </row>
    <row r="77" spans="2:16" x14ac:dyDescent="0.45">
      <c r="B77" s="4" t="s">
        <v>7</v>
      </c>
      <c r="C77" s="6">
        <v>5376000</v>
      </c>
      <c r="E77" s="4" t="s">
        <v>7</v>
      </c>
      <c r="F77" s="9">
        <f t="shared" si="10"/>
        <v>5376000</v>
      </c>
    </row>
    <row r="78" spans="2:16" x14ac:dyDescent="0.45">
      <c r="B78" s="4" t="s">
        <v>51</v>
      </c>
      <c r="C78" s="6">
        <v>4872000</v>
      </c>
      <c r="E78" s="4" t="s">
        <v>51</v>
      </c>
      <c r="F78" s="9">
        <f t="shared" si="10"/>
        <v>4872000</v>
      </c>
    </row>
    <row r="79" spans="2:16" x14ac:dyDescent="0.45">
      <c r="B79" s="4" t="s">
        <v>63</v>
      </c>
      <c r="C79" s="6">
        <v>24031200</v>
      </c>
    </row>
    <row r="85" spans="2:13" x14ac:dyDescent="0.45">
      <c r="L85" s="3" t="s">
        <v>69</v>
      </c>
      <c r="M85" t="s">
        <v>77</v>
      </c>
    </row>
    <row r="86" spans="2:13" x14ac:dyDescent="0.45">
      <c r="B86" s="7"/>
      <c r="C86" s="7"/>
      <c r="D86" s="7"/>
      <c r="L86" s="4" t="s">
        <v>6</v>
      </c>
      <c r="M86" s="6">
        <v>137500</v>
      </c>
    </row>
    <row r="87" spans="2:13" x14ac:dyDescent="0.45">
      <c r="D87" s="5"/>
      <c r="L87" s="4" t="s">
        <v>2</v>
      </c>
      <c r="M87" s="6">
        <v>185620.31746031746</v>
      </c>
    </row>
    <row r="88" spans="2:13" x14ac:dyDescent="0.45">
      <c r="D88" s="9"/>
      <c r="L88" s="4" t="s">
        <v>63</v>
      </c>
      <c r="M88" s="6">
        <v>168122.02020202021</v>
      </c>
    </row>
    <row r="89" spans="2:13" x14ac:dyDescent="0.45">
      <c r="D89" s="9"/>
    </row>
    <row r="90" spans="2:13" x14ac:dyDescent="0.45">
      <c r="D90" s="9"/>
    </row>
    <row r="91" spans="2:13" x14ac:dyDescent="0.45">
      <c r="D91" s="9"/>
    </row>
    <row r="92" spans="2:13" x14ac:dyDescent="0.45">
      <c r="D92" s="9"/>
    </row>
    <row r="93" spans="2:13" x14ac:dyDescent="0.45">
      <c r="D93" s="9"/>
    </row>
    <row r="114" spans="2:12" x14ac:dyDescent="0.45">
      <c r="B114" s="3" t="s">
        <v>70</v>
      </c>
      <c r="C114" s="3" t="s">
        <v>73</v>
      </c>
    </row>
    <row r="115" spans="2:12" x14ac:dyDescent="0.45">
      <c r="B115" s="3" t="s">
        <v>80</v>
      </c>
      <c r="C115" t="s">
        <v>36</v>
      </c>
      <c r="D115" t="s">
        <v>38</v>
      </c>
      <c r="E115" t="s">
        <v>37</v>
      </c>
      <c r="F115" t="s">
        <v>50</v>
      </c>
      <c r="G115" t="s">
        <v>48</v>
      </c>
      <c r="H115" t="s">
        <v>42</v>
      </c>
      <c r="I115" t="s">
        <v>40</v>
      </c>
      <c r="J115" t="s">
        <v>43</v>
      </c>
      <c r="K115" t="s">
        <v>47</v>
      </c>
      <c r="L115" t="s">
        <v>63</v>
      </c>
    </row>
    <row r="116" spans="2:12" x14ac:dyDescent="0.45">
      <c r="B116" s="4" t="s">
        <v>10</v>
      </c>
      <c r="C116" s="6">
        <v>1452000</v>
      </c>
      <c r="D116" s="6"/>
      <c r="E116" s="6"/>
      <c r="F116" s="6"/>
      <c r="G116" s="6">
        <v>115200</v>
      </c>
      <c r="H116" s="6"/>
      <c r="I116" s="6"/>
      <c r="J116" s="6"/>
      <c r="K116" s="6">
        <v>180000</v>
      </c>
      <c r="L116" s="6">
        <v>1747200</v>
      </c>
    </row>
    <row r="117" spans="2:12" x14ac:dyDescent="0.45">
      <c r="B117" s="4" t="s">
        <v>24</v>
      </c>
      <c r="C117" s="6">
        <v>48000</v>
      </c>
      <c r="D117" s="6"/>
      <c r="E117" s="6"/>
      <c r="F117" s="6"/>
      <c r="G117" s="6"/>
      <c r="H117" s="6"/>
      <c r="I117" s="6"/>
      <c r="J117" s="6"/>
      <c r="K117" s="6"/>
      <c r="L117" s="6">
        <v>48000</v>
      </c>
    </row>
    <row r="118" spans="2:12" x14ac:dyDescent="0.45">
      <c r="B118" s="4" t="s">
        <v>4</v>
      </c>
      <c r="C118" s="6">
        <v>2940000</v>
      </c>
      <c r="D118" s="6">
        <v>120000</v>
      </c>
      <c r="E118" s="6">
        <v>720000</v>
      </c>
      <c r="F118" s="6">
        <v>1230000</v>
      </c>
      <c r="G118" s="6">
        <v>960000</v>
      </c>
      <c r="H118" s="6">
        <v>1410000</v>
      </c>
      <c r="I118" s="6">
        <v>360000</v>
      </c>
      <c r="J118" s="6">
        <v>12000</v>
      </c>
      <c r="K118" s="6">
        <v>3336000</v>
      </c>
      <c r="L118" s="6">
        <v>11088000</v>
      </c>
    </row>
    <row r="119" spans="2:12" x14ac:dyDescent="0.45">
      <c r="B119" s="4" t="s">
        <v>26</v>
      </c>
      <c r="C119" s="6"/>
      <c r="D119" s="6"/>
      <c r="E119" s="6"/>
      <c r="F119" s="6"/>
      <c r="G119" s="6"/>
      <c r="H119" s="6"/>
      <c r="I119" s="6"/>
      <c r="J119" s="6"/>
      <c r="K119" s="6">
        <v>900000</v>
      </c>
      <c r="L119" s="6">
        <v>900000</v>
      </c>
    </row>
    <row r="120" spans="2:12" x14ac:dyDescent="0.45">
      <c r="B120" s="4" t="s">
        <v>7</v>
      </c>
      <c r="C120" s="6">
        <v>2520000</v>
      </c>
      <c r="D120" s="6"/>
      <c r="E120" s="6">
        <v>300000</v>
      </c>
      <c r="F120" s="6"/>
      <c r="G120" s="6">
        <v>2280000</v>
      </c>
      <c r="H120" s="6"/>
      <c r="I120" s="6"/>
      <c r="J120" s="6"/>
      <c r="K120" s="6">
        <v>276000</v>
      </c>
      <c r="L120" s="6">
        <v>5376000</v>
      </c>
    </row>
    <row r="121" spans="2:12" x14ac:dyDescent="0.45">
      <c r="B121" s="4" t="s">
        <v>51</v>
      </c>
      <c r="C121" s="6">
        <v>1158000</v>
      </c>
      <c r="D121" s="6"/>
      <c r="E121" s="6">
        <v>180000</v>
      </c>
      <c r="F121" s="6"/>
      <c r="G121" s="6">
        <v>1230000</v>
      </c>
      <c r="H121" s="6">
        <v>1020000</v>
      </c>
      <c r="I121" s="6"/>
      <c r="J121" s="6"/>
      <c r="K121" s="6">
        <v>1284000</v>
      </c>
      <c r="L121" s="6">
        <v>4872000</v>
      </c>
    </row>
    <row r="122" spans="2:12" x14ac:dyDescent="0.45">
      <c r="B122" s="4" t="s">
        <v>63</v>
      </c>
      <c r="C122" s="6">
        <v>8118000</v>
      </c>
      <c r="D122" s="6">
        <v>120000</v>
      </c>
      <c r="E122" s="6">
        <v>1200000</v>
      </c>
      <c r="F122" s="6">
        <v>1230000</v>
      </c>
      <c r="G122" s="6">
        <v>4585200</v>
      </c>
      <c r="H122" s="6">
        <v>2430000</v>
      </c>
      <c r="I122" s="6">
        <v>360000</v>
      </c>
      <c r="J122" s="6">
        <v>12000</v>
      </c>
      <c r="K122" s="6">
        <v>5976000</v>
      </c>
      <c r="L122" s="6">
        <v>24031200</v>
      </c>
    </row>
    <row r="140" spans="2:7" x14ac:dyDescent="0.45">
      <c r="B140" s="3" t="s">
        <v>74</v>
      </c>
      <c r="C140" s="3" t="s">
        <v>81</v>
      </c>
    </row>
    <row r="141" spans="2:7" x14ac:dyDescent="0.45">
      <c r="B141" s="3" t="s">
        <v>80</v>
      </c>
      <c r="C141" t="s">
        <v>65</v>
      </c>
      <c r="D141" t="s">
        <v>66</v>
      </c>
      <c r="E141" t="s">
        <v>67</v>
      </c>
      <c r="F141" t="s">
        <v>68</v>
      </c>
      <c r="G141" t="s">
        <v>63</v>
      </c>
    </row>
    <row r="142" spans="2:7" x14ac:dyDescent="0.45">
      <c r="B142" s="4" t="s">
        <v>6</v>
      </c>
      <c r="C142" s="6">
        <v>2167.8571428571427</v>
      </c>
      <c r="D142" s="6">
        <v>3000</v>
      </c>
      <c r="E142" s="6">
        <v>2000</v>
      </c>
      <c r="F142" s="6"/>
      <c r="G142" s="6">
        <v>2325</v>
      </c>
    </row>
    <row r="143" spans="2:7" x14ac:dyDescent="0.45">
      <c r="B143" s="4" t="s">
        <v>2</v>
      </c>
      <c r="C143" s="6">
        <v>3314.4897959183672</v>
      </c>
      <c r="D143" s="6">
        <v>3183.3333333333335</v>
      </c>
      <c r="E143" s="6"/>
      <c r="F143" s="6">
        <v>1000</v>
      </c>
      <c r="G143" s="6">
        <v>3216.031746031746</v>
      </c>
    </row>
    <row r="144" spans="2:7" x14ac:dyDescent="0.45">
      <c r="B144" s="4" t="s">
        <v>63</v>
      </c>
      <c r="C144" s="6">
        <v>2897.5324675324673</v>
      </c>
      <c r="D144" s="6">
        <v>3115.7894736842104</v>
      </c>
      <c r="E144" s="6">
        <v>2000</v>
      </c>
      <c r="F144" s="6">
        <v>1000</v>
      </c>
      <c r="G144" s="6">
        <v>2892.0202020202019</v>
      </c>
    </row>
  </sheetData>
  <conditionalFormatting pivot="1" sqref="E4:E7">
    <cfRule type="iconSet" priority="2">
      <iconSet iconSet="3Arrows">
        <cfvo type="percent" val="0"/>
        <cfvo type="percent" val="33"/>
        <cfvo type="percent" val="67"/>
      </iconSet>
    </cfRule>
  </conditionalFormatting>
  <conditionalFormatting sqref="M18:M26">
    <cfRule type="colorScale" priority="1">
      <colorScale>
        <cfvo type="min"/>
        <cfvo type="percentile" val="50"/>
        <cfvo type="max"/>
        <color rgb="FFF8696B"/>
        <color rgb="FFFCFCFF"/>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EC655-D25C-440E-9C0F-8F3DA75609D7}">
  <dimension ref="A1"/>
  <sheetViews>
    <sheetView showGridLines="0" topLeftCell="A8" zoomScale="40" zoomScaleNormal="40" workbookViewId="0">
      <selection activeCell="Z30" sqref="Z30"/>
    </sheetView>
  </sheetViews>
  <sheetFormatPr defaultRowHeight="14.25"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7CB5F-9F36-40B9-B9B4-4BB8163C22C2}">
  <dimension ref="A1"/>
  <sheetViews>
    <sheetView showGridLines="0" topLeftCell="A5" zoomScale="40" zoomScaleNormal="40" workbookViewId="0">
      <selection activeCell="Z29" sqref="Z29"/>
    </sheetView>
  </sheetViews>
  <sheetFormatPr defaultRowHeight="14.25"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D30B6-81F1-4A1B-9D17-75B20E51821E}">
  <dimension ref="A1"/>
  <sheetViews>
    <sheetView showGridLines="0" tabSelected="1" topLeftCell="A4" zoomScale="40" zoomScaleNormal="40" workbookViewId="0">
      <selection activeCell="Z33" sqref="Z33"/>
    </sheetView>
  </sheetViews>
  <sheetFormatPr defaultRowHeight="14.25"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11E48-2A3D-44EE-9E2A-4DE2FACA983E}">
  <dimension ref="A1:L100"/>
  <sheetViews>
    <sheetView workbookViewId="0">
      <selection activeCell="F6" sqref="F6"/>
    </sheetView>
  </sheetViews>
  <sheetFormatPr defaultRowHeight="14.25" x14ac:dyDescent="0.45"/>
  <cols>
    <col min="1" max="1" width="8.59765625" customWidth="1"/>
    <col min="2" max="2" width="8.1328125" bestFit="1" customWidth="1"/>
    <col min="3" max="3" width="19.9296875" customWidth="1"/>
    <col min="4" max="4" width="14.86328125" customWidth="1"/>
    <col min="5" max="5" width="17.1328125" customWidth="1"/>
    <col min="6" max="6" width="28.33203125" bestFit="1" customWidth="1"/>
    <col min="7" max="7" width="21.06640625" customWidth="1"/>
    <col min="8" max="8" width="22.19921875" bestFit="1" customWidth="1"/>
    <col min="9" max="9" width="24.3984375" bestFit="1" customWidth="1"/>
    <col min="10" max="10" width="38.33203125" customWidth="1"/>
    <col min="11" max="11" width="24.59765625" customWidth="1"/>
    <col min="12" max="12" width="16.46484375" customWidth="1"/>
  </cols>
  <sheetData>
    <row r="1" spans="1:12" x14ac:dyDescent="0.45">
      <c r="A1" s="1" t="s">
        <v>0</v>
      </c>
      <c r="B1" s="1" t="s">
        <v>1</v>
      </c>
      <c r="C1" s="1" t="s">
        <v>27</v>
      </c>
      <c r="D1" s="1" t="s">
        <v>28</v>
      </c>
      <c r="E1" s="1" t="s">
        <v>34</v>
      </c>
      <c r="F1" s="1" t="s">
        <v>33</v>
      </c>
      <c r="G1" s="1" t="s">
        <v>29</v>
      </c>
      <c r="H1" s="1" t="s">
        <v>30</v>
      </c>
      <c r="I1" s="1" t="s">
        <v>31</v>
      </c>
      <c r="J1" s="1" t="s">
        <v>32</v>
      </c>
      <c r="K1" s="1" t="s">
        <v>56</v>
      </c>
      <c r="L1" s="1" t="s">
        <v>61</v>
      </c>
    </row>
    <row r="2" spans="1:12" x14ac:dyDescent="0.45">
      <c r="A2" s="1" t="s">
        <v>2</v>
      </c>
      <c r="B2" s="1">
        <v>19</v>
      </c>
      <c r="C2" s="1" t="s">
        <v>58</v>
      </c>
      <c r="D2" s="1">
        <v>0</v>
      </c>
      <c r="E2" s="1" t="s">
        <v>44</v>
      </c>
      <c r="F2" s="1" t="s">
        <v>47</v>
      </c>
      <c r="G2" s="1">
        <v>200</v>
      </c>
      <c r="H2" s="1" t="s">
        <v>3</v>
      </c>
      <c r="I2" s="1" t="s">
        <v>4</v>
      </c>
      <c r="J2" s="1" t="s">
        <v>5</v>
      </c>
      <c r="K2" s="1">
        <v>10</v>
      </c>
      <c r="L2">
        <v>24000</v>
      </c>
    </row>
    <row r="3" spans="1:12" x14ac:dyDescent="0.45">
      <c r="A3" s="1" t="s">
        <v>6</v>
      </c>
      <c r="B3" s="1">
        <v>24</v>
      </c>
      <c r="C3" s="1" t="s">
        <v>58</v>
      </c>
      <c r="D3" s="1">
        <v>0</v>
      </c>
      <c r="E3" s="1" t="s">
        <v>44</v>
      </c>
      <c r="F3" s="1" t="s">
        <v>47</v>
      </c>
      <c r="G3" s="1">
        <v>1000</v>
      </c>
      <c r="H3" s="1" t="s">
        <v>59</v>
      </c>
      <c r="I3" s="1" t="s">
        <v>7</v>
      </c>
      <c r="J3" s="1" t="s">
        <v>5</v>
      </c>
      <c r="K3" s="1">
        <v>3</v>
      </c>
      <c r="L3">
        <v>36000</v>
      </c>
    </row>
    <row r="4" spans="1:12" x14ac:dyDescent="0.45">
      <c r="A4" s="1" t="s">
        <v>2</v>
      </c>
      <c r="B4" s="1">
        <v>24</v>
      </c>
      <c r="C4" s="1" t="s">
        <v>57</v>
      </c>
      <c r="D4" s="1">
        <v>400000</v>
      </c>
      <c r="E4" s="1" t="s">
        <v>45</v>
      </c>
      <c r="F4" s="1" t="s">
        <v>48</v>
      </c>
      <c r="G4" s="1">
        <v>5000</v>
      </c>
      <c r="H4" s="1" t="s">
        <v>59</v>
      </c>
      <c r="I4" s="1" t="s">
        <v>51</v>
      </c>
      <c r="J4" s="1" t="s">
        <v>55</v>
      </c>
      <c r="K4" s="1">
        <v>10</v>
      </c>
      <c r="L4">
        <v>600000</v>
      </c>
    </row>
    <row r="5" spans="1:12" x14ac:dyDescent="0.45">
      <c r="A5" s="1" t="s">
        <v>2</v>
      </c>
      <c r="B5" s="1">
        <v>22</v>
      </c>
      <c r="C5" s="1" t="s">
        <v>57</v>
      </c>
      <c r="D5" s="1">
        <v>150000</v>
      </c>
      <c r="E5" s="1" t="s">
        <v>8</v>
      </c>
      <c r="F5" s="1" t="s">
        <v>36</v>
      </c>
      <c r="G5" s="1">
        <v>2000</v>
      </c>
      <c r="H5" s="1" t="s">
        <v>60</v>
      </c>
      <c r="I5" s="1" t="s">
        <v>51</v>
      </c>
      <c r="J5" s="1" t="s">
        <v>5</v>
      </c>
      <c r="K5" s="1">
        <v>10</v>
      </c>
      <c r="L5">
        <v>240000</v>
      </c>
    </row>
    <row r="6" spans="1:12" x14ac:dyDescent="0.45">
      <c r="A6" s="1" t="s">
        <v>2</v>
      </c>
      <c r="B6" s="1">
        <v>25</v>
      </c>
      <c r="C6" s="1" t="s">
        <v>57</v>
      </c>
      <c r="D6" s="1">
        <v>250000</v>
      </c>
      <c r="E6" s="1" t="s">
        <v>8</v>
      </c>
      <c r="F6" s="1" t="s">
        <v>36</v>
      </c>
      <c r="G6" s="1">
        <v>2000</v>
      </c>
      <c r="H6" s="1" t="s">
        <v>9</v>
      </c>
      <c r="I6" s="1" t="s">
        <v>10</v>
      </c>
      <c r="J6" s="1" t="s">
        <v>5</v>
      </c>
      <c r="K6" s="1">
        <v>15</v>
      </c>
      <c r="L6">
        <v>360000</v>
      </c>
    </row>
    <row r="7" spans="1:12" x14ac:dyDescent="0.45">
      <c r="A7" s="1" t="s">
        <v>2</v>
      </c>
      <c r="B7" s="1">
        <v>27</v>
      </c>
      <c r="C7" s="1" t="s">
        <v>57</v>
      </c>
      <c r="D7" s="1">
        <v>384000</v>
      </c>
      <c r="E7" s="1" t="s">
        <v>11</v>
      </c>
      <c r="F7" s="1" t="s">
        <v>37</v>
      </c>
      <c r="G7" s="1">
        <v>3000</v>
      </c>
      <c r="H7" s="1" t="s">
        <v>59</v>
      </c>
      <c r="I7" s="2" t="s">
        <v>51</v>
      </c>
      <c r="J7" s="1" t="s">
        <v>5</v>
      </c>
      <c r="K7" s="1">
        <v>5</v>
      </c>
      <c r="L7">
        <v>180000</v>
      </c>
    </row>
    <row r="8" spans="1:12" x14ac:dyDescent="0.45">
      <c r="A8" s="1" t="s">
        <v>2</v>
      </c>
      <c r="B8" s="1">
        <v>24</v>
      </c>
      <c r="C8" s="1" t="s">
        <v>57</v>
      </c>
      <c r="D8" s="1">
        <v>150000</v>
      </c>
      <c r="E8" s="1" t="s">
        <v>39</v>
      </c>
      <c r="F8" s="1" t="s">
        <v>40</v>
      </c>
      <c r="G8" s="1">
        <v>2000</v>
      </c>
      <c r="H8" s="1" t="s">
        <v>13</v>
      </c>
      <c r="I8" s="1" t="s">
        <v>4</v>
      </c>
      <c r="J8" s="1" t="s">
        <v>55</v>
      </c>
      <c r="K8" s="1">
        <v>15</v>
      </c>
      <c r="L8">
        <v>360000</v>
      </c>
    </row>
    <row r="9" spans="1:12" x14ac:dyDescent="0.45">
      <c r="A9" s="1" t="s">
        <v>6</v>
      </c>
      <c r="B9" s="1">
        <v>22</v>
      </c>
      <c r="C9" s="1" t="s">
        <v>58</v>
      </c>
      <c r="D9" s="1">
        <v>0</v>
      </c>
      <c r="E9" s="1" t="s">
        <v>49</v>
      </c>
      <c r="F9" s="1" t="s">
        <v>50</v>
      </c>
      <c r="G9" s="1">
        <v>500</v>
      </c>
      <c r="H9" s="1" t="s">
        <v>3</v>
      </c>
      <c r="I9" s="1" t="s">
        <v>4</v>
      </c>
      <c r="J9" s="1" t="s">
        <v>14</v>
      </c>
      <c r="K9" s="1">
        <v>10</v>
      </c>
      <c r="L9">
        <v>60000</v>
      </c>
    </row>
    <row r="10" spans="1:12" x14ac:dyDescent="0.45">
      <c r="A10" s="1" t="s">
        <v>6</v>
      </c>
      <c r="B10" s="1">
        <v>25</v>
      </c>
      <c r="C10" s="1" t="s">
        <v>58</v>
      </c>
      <c r="D10" s="1">
        <v>0</v>
      </c>
      <c r="E10" s="1" t="s">
        <v>44</v>
      </c>
      <c r="F10" s="1" t="s">
        <v>47</v>
      </c>
      <c r="G10" s="1">
        <v>2000</v>
      </c>
      <c r="H10" s="1" t="s">
        <v>3</v>
      </c>
      <c r="I10" s="1" t="s">
        <v>4</v>
      </c>
      <c r="J10" s="1" t="s">
        <v>14</v>
      </c>
      <c r="K10" s="1">
        <v>5</v>
      </c>
      <c r="L10">
        <v>120000</v>
      </c>
    </row>
    <row r="11" spans="1:12" x14ac:dyDescent="0.45">
      <c r="A11" s="1" t="s">
        <v>2</v>
      </c>
      <c r="B11" s="1">
        <v>28</v>
      </c>
      <c r="C11" s="1" t="s">
        <v>57</v>
      </c>
      <c r="D11" s="1">
        <v>500000</v>
      </c>
      <c r="E11" s="1" t="s">
        <v>45</v>
      </c>
      <c r="F11" s="1" t="s">
        <v>48</v>
      </c>
      <c r="G11" s="1">
        <v>5000</v>
      </c>
      <c r="H11" s="1" t="s">
        <v>15</v>
      </c>
      <c r="I11" s="1" t="s">
        <v>7</v>
      </c>
      <c r="J11" s="1" t="s">
        <v>5</v>
      </c>
      <c r="K11" s="1">
        <v>10</v>
      </c>
      <c r="L11">
        <v>600000</v>
      </c>
    </row>
    <row r="12" spans="1:12" x14ac:dyDescent="0.45">
      <c r="A12" s="1" t="s">
        <v>6</v>
      </c>
      <c r="B12" s="1">
        <v>35</v>
      </c>
      <c r="C12" s="1" t="s">
        <v>58</v>
      </c>
      <c r="D12" s="1">
        <v>0</v>
      </c>
      <c r="E12" s="1" t="s">
        <v>44</v>
      </c>
      <c r="F12" s="1" t="s">
        <v>47</v>
      </c>
      <c r="G12" s="1">
        <v>2000</v>
      </c>
      <c r="H12" s="1" t="s">
        <v>3</v>
      </c>
      <c r="I12" s="1" t="s">
        <v>4</v>
      </c>
      <c r="J12" s="1" t="s">
        <v>53</v>
      </c>
      <c r="K12" s="1">
        <v>10</v>
      </c>
      <c r="L12">
        <v>240000</v>
      </c>
    </row>
    <row r="13" spans="1:12" x14ac:dyDescent="0.45">
      <c r="A13" s="1" t="s">
        <v>6</v>
      </c>
      <c r="B13" s="1">
        <v>28</v>
      </c>
      <c r="C13" s="1" t="s">
        <v>57</v>
      </c>
      <c r="D13" s="1">
        <v>300000</v>
      </c>
      <c r="E13" s="1" t="s">
        <v>49</v>
      </c>
      <c r="F13" s="1" t="s">
        <v>50</v>
      </c>
      <c r="G13" s="1">
        <v>5000</v>
      </c>
      <c r="H13" s="1" t="s">
        <v>16</v>
      </c>
      <c r="I13" s="1" t="s">
        <v>4</v>
      </c>
      <c r="J13" s="1" t="s">
        <v>52</v>
      </c>
      <c r="K13" s="1">
        <v>3</v>
      </c>
      <c r="L13">
        <v>180000</v>
      </c>
    </row>
    <row r="14" spans="1:12" x14ac:dyDescent="0.45">
      <c r="A14" s="1" t="s">
        <v>2</v>
      </c>
      <c r="B14" s="1">
        <v>56</v>
      </c>
      <c r="C14" s="1" t="s">
        <v>57</v>
      </c>
      <c r="D14" s="1">
        <v>200000</v>
      </c>
      <c r="E14" s="1" t="s">
        <v>8</v>
      </c>
      <c r="F14" s="1" t="s">
        <v>36</v>
      </c>
      <c r="G14" s="1">
        <v>1000</v>
      </c>
      <c r="H14" s="1" t="s">
        <v>17</v>
      </c>
      <c r="I14" s="1" t="s">
        <v>51</v>
      </c>
      <c r="J14" s="1" t="s">
        <v>55</v>
      </c>
      <c r="K14" s="1">
        <v>4</v>
      </c>
      <c r="L14">
        <v>48000</v>
      </c>
    </row>
    <row r="15" spans="1:12" x14ac:dyDescent="0.45">
      <c r="A15" s="1" t="s">
        <v>2</v>
      </c>
      <c r="B15" s="1">
        <v>23</v>
      </c>
      <c r="C15" s="1" t="s">
        <v>58</v>
      </c>
      <c r="D15" s="1">
        <v>0</v>
      </c>
      <c r="E15" s="1" t="s">
        <v>45</v>
      </c>
      <c r="F15" s="1" t="s">
        <v>48</v>
      </c>
      <c r="G15" s="1">
        <v>500</v>
      </c>
      <c r="H15" s="1" t="s">
        <v>15</v>
      </c>
      <c r="I15" s="1" t="s">
        <v>7</v>
      </c>
      <c r="J15" s="1" t="s">
        <v>54</v>
      </c>
      <c r="K15" s="1">
        <v>15</v>
      </c>
      <c r="L15">
        <v>90000</v>
      </c>
    </row>
    <row r="16" spans="1:12" x14ac:dyDescent="0.45">
      <c r="A16" s="1" t="s">
        <v>6</v>
      </c>
      <c r="B16" s="1">
        <v>19</v>
      </c>
      <c r="C16" s="1" t="s">
        <v>58</v>
      </c>
      <c r="D16" s="1">
        <v>0</v>
      </c>
      <c r="E16" s="1" t="s">
        <v>44</v>
      </c>
      <c r="F16" s="1" t="s">
        <v>47</v>
      </c>
      <c r="G16" s="1">
        <v>1000</v>
      </c>
      <c r="H16" s="1" t="s">
        <v>17</v>
      </c>
      <c r="I16" s="1" t="s">
        <v>10</v>
      </c>
      <c r="J16" s="1" t="s">
        <v>14</v>
      </c>
      <c r="K16" s="1">
        <v>10</v>
      </c>
      <c r="L16">
        <v>120000</v>
      </c>
    </row>
    <row r="17" spans="1:12" x14ac:dyDescent="0.45">
      <c r="A17" s="1" t="s">
        <v>2</v>
      </c>
      <c r="B17" s="1">
        <v>31</v>
      </c>
      <c r="C17" s="1" t="s">
        <v>57</v>
      </c>
      <c r="D17" s="1">
        <v>200000</v>
      </c>
      <c r="E17" s="1" t="s">
        <v>45</v>
      </c>
      <c r="F17" s="1" t="s">
        <v>48</v>
      </c>
      <c r="G17" s="1">
        <v>1000</v>
      </c>
      <c r="H17" s="1" t="s">
        <v>59</v>
      </c>
      <c r="I17" s="1" t="s">
        <v>7</v>
      </c>
      <c r="J17" s="1" t="s">
        <v>14</v>
      </c>
      <c r="K17" s="1">
        <v>5</v>
      </c>
      <c r="L17">
        <v>60000</v>
      </c>
    </row>
    <row r="18" spans="1:12" x14ac:dyDescent="0.45">
      <c r="A18" s="1" t="s">
        <v>2</v>
      </c>
      <c r="B18" s="1">
        <v>26</v>
      </c>
      <c r="C18" s="1" t="s">
        <v>58</v>
      </c>
      <c r="D18" s="1">
        <v>0</v>
      </c>
      <c r="E18" s="1" t="s">
        <v>44</v>
      </c>
      <c r="F18" s="1" t="s">
        <v>47</v>
      </c>
      <c r="G18" s="1">
        <v>500</v>
      </c>
      <c r="H18" s="1" t="s">
        <v>16</v>
      </c>
      <c r="I18" s="1" t="s">
        <v>51</v>
      </c>
      <c r="J18" s="1" t="s">
        <v>5</v>
      </c>
      <c r="K18" s="1">
        <v>4</v>
      </c>
      <c r="L18">
        <v>24000</v>
      </c>
    </row>
    <row r="19" spans="1:12" x14ac:dyDescent="0.45">
      <c r="A19" s="1" t="s">
        <v>2</v>
      </c>
      <c r="B19" s="1">
        <v>28</v>
      </c>
      <c r="C19" s="1" t="s">
        <v>57</v>
      </c>
      <c r="D19" s="1">
        <v>300000</v>
      </c>
      <c r="E19" s="1" t="s">
        <v>8</v>
      </c>
      <c r="F19" s="1" t="s">
        <v>36</v>
      </c>
      <c r="G19" s="1">
        <v>2500</v>
      </c>
      <c r="H19" s="1" t="s">
        <v>17</v>
      </c>
      <c r="I19" s="1" t="s">
        <v>4</v>
      </c>
      <c r="J19" s="1" t="s">
        <v>5</v>
      </c>
      <c r="K19" s="1">
        <v>8</v>
      </c>
      <c r="L19">
        <v>240000</v>
      </c>
    </row>
    <row r="20" spans="1:12" x14ac:dyDescent="0.45">
      <c r="A20" s="1" t="s">
        <v>6</v>
      </c>
      <c r="B20" s="1">
        <v>26</v>
      </c>
      <c r="C20" s="1" t="s">
        <v>57</v>
      </c>
      <c r="D20" s="1">
        <v>150000</v>
      </c>
      <c r="E20" s="1" t="s">
        <v>44</v>
      </c>
      <c r="F20" s="1" t="s">
        <v>47</v>
      </c>
      <c r="G20" s="1">
        <v>1500</v>
      </c>
      <c r="H20" s="1" t="s">
        <v>3</v>
      </c>
      <c r="I20" s="1" t="s">
        <v>4</v>
      </c>
      <c r="J20" s="1" t="s">
        <v>52</v>
      </c>
      <c r="K20" s="1">
        <v>3</v>
      </c>
      <c r="L20">
        <v>54000</v>
      </c>
    </row>
    <row r="21" spans="1:12" x14ac:dyDescent="0.45">
      <c r="A21" s="1" t="s">
        <v>2</v>
      </c>
      <c r="B21" s="1">
        <v>20</v>
      </c>
      <c r="C21" s="1" t="s">
        <v>58</v>
      </c>
      <c r="D21" s="1">
        <v>0</v>
      </c>
      <c r="E21" s="1" t="s">
        <v>44</v>
      </c>
      <c r="F21" s="1" t="s">
        <v>47</v>
      </c>
      <c r="G21" s="1">
        <v>5000</v>
      </c>
      <c r="H21" s="1" t="s">
        <v>17</v>
      </c>
      <c r="I21" s="1" t="s">
        <v>10</v>
      </c>
      <c r="J21" s="1" t="s">
        <v>14</v>
      </c>
      <c r="K21" s="1">
        <v>1</v>
      </c>
      <c r="L21">
        <v>60000</v>
      </c>
    </row>
    <row r="22" spans="1:12" x14ac:dyDescent="0.45">
      <c r="A22" s="1" t="s">
        <v>2</v>
      </c>
      <c r="B22" s="1">
        <v>18</v>
      </c>
      <c r="C22" s="1" t="s">
        <v>58</v>
      </c>
      <c r="D22" s="1">
        <v>360000</v>
      </c>
      <c r="E22" s="1" t="s">
        <v>11</v>
      </c>
      <c r="F22" s="1" t="s">
        <v>37</v>
      </c>
      <c r="G22" s="1">
        <v>30000</v>
      </c>
      <c r="H22" s="1" t="s">
        <v>15</v>
      </c>
      <c r="I22" s="1" t="s">
        <v>4</v>
      </c>
      <c r="J22" s="1" t="s">
        <v>53</v>
      </c>
      <c r="K22" s="1">
        <v>2</v>
      </c>
      <c r="L22">
        <v>720000</v>
      </c>
    </row>
    <row r="23" spans="1:12" x14ac:dyDescent="0.45">
      <c r="A23" s="1" t="s">
        <v>2</v>
      </c>
      <c r="B23" s="1">
        <v>23</v>
      </c>
      <c r="C23" s="1" t="s">
        <v>57</v>
      </c>
      <c r="D23" s="1">
        <v>0</v>
      </c>
      <c r="E23" s="1" t="s">
        <v>45</v>
      </c>
      <c r="F23" s="1" t="s">
        <v>48</v>
      </c>
      <c r="G23" s="1">
        <v>10</v>
      </c>
      <c r="H23" s="1" t="s">
        <v>59</v>
      </c>
      <c r="I23" s="1" t="s">
        <v>10</v>
      </c>
      <c r="J23" s="1" t="s">
        <v>53</v>
      </c>
      <c r="K23" s="1">
        <v>10</v>
      </c>
      <c r="L23">
        <v>1200</v>
      </c>
    </row>
    <row r="24" spans="1:12" x14ac:dyDescent="0.45">
      <c r="A24" s="1" t="s">
        <v>2</v>
      </c>
      <c r="B24" s="1">
        <v>22</v>
      </c>
      <c r="C24" s="1" t="s">
        <v>58</v>
      </c>
      <c r="D24" s="1">
        <v>0</v>
      </c>
      <c r="E24" s="1" t="s">
        <v>45</v>
      </c>
      <c r="F24" s="1" t="s">
        <v>48</v>
      </c>
      <c r="G24" s="1">
        <v>100</v>
      </c>
      <c r="H24" s="1" t="s">
        <v>15</v>
      </c>
      <c r="I24" s="1" t="s">
        <v>7</v>
      </c>
      <c r="J24" s="1" t="s">
        <v>54</v>
      </c>
      <c r="K24" s="1">
        <v>10</v>
      </c>
      <c r="L24">
        <v>12000</v>
      </c>
    </row>
    <row r="25" spans="1:12" x14ac:dyDescent="0.45">
      <c r="A25" s="1" t="s">
        <v>2</v>
      </c>
      <c r="B25" s="1">
        <v>18</v>
      </c>
      <c r="C25" s="1" t="s">
        <v>58</v>
      </c>
      <c r="D25" s="1">
        <v>0</v>
      </c>
      <c r="E25" s="1" t="s">
        <v>44</v>
      </c>
      <c r="F25" s="1" t="s">
        <v>47</v>
      </c>
      <c r="G25" s="1">
        <v>5000</v>
      </c>
      <c r="H25" s="1" t="s">
        <v>17</v>
      </c>
      <c r="I25" s="1" t="s">
        <v>4</v>
      </c>
      <c r="J25" s="1" t="s">
        <v>55</v>
      </c>
      <c r="K25" s="1">
        <v>25</v>
      </c>
      <c r="L25">
        <v>1500000</v>
      </c>
    </row>
    <row r="26" spans="1:12" x14ac:dyDescent="0.45">
      <c r="A26" s="1" t="s">
        <v>2</v>
      </c>
      <c r="B26" s="1">
        <v>20</v>
      </c>
      <c r="C26" s="1" t="s">
        <v>58</v>
      </c>
      <c r="D26" s="1">
        <v>0</v>
      </c>
      <c r="E26" s="1" t="s">
        <v>45</v>
      </c>
      <c r="F26" s="1" t="s">
        <v>48</v>
      </c>
      <c r="G26" s="1">
        <v>0</v>
      </c>
      <c r="H26" s="1" t="s">
        <v>3</v>
      </c>
      <c r="I26" s="1" t="s">
        <v>4</v>
      </c>
      <c r="J26" s="1" t="s">
        <v>14</v>
      </c>
      <c r="K26" s="1">
        <v>2</v>
      </c>
      <c r="L26">
        <v>0</v>
      </c>
    </row>
    <row r="27" spans="1:12" x14ac:dyDescent="0.45">
      <c r="A27" s="1" t="s">
        <v>2</v>
      </c>
      <c r="B27" s="1">
        <v>28</v>
      </c>
      <c r="C27" s="1" t="s">
        <v>57</v>
      </c>
      <c r="D27" s="1">
        <v>250000</v>
      </c>
      <c r="E27" s="1" t="s">
        <v>45</v>
      </c>
      <c r="F27" s="1" t="s">
        <v>48</v>
      </c>
      <c r="G27" s="1">
        <v>1500</v>
      </c>
      <c r="H27" s="1" t="s">
        <v>15</v>
      </c>
      <c r="I27" s="1" t="s">
        <v>7</v>
      </c>
      <c r="J27" s="1" t="s">
        <v>5</v>
      </c>
      <c r="K27" s="1">
        <v>4</v>
      </c>
      <c r="L27">
        <v>72000</v>
      </c>
    </row>
    <row r="28" spans="1:12" x14ac:dyDescent="0.45">
      <c r="A28" s="1" t="s">
        <v>2</v>
      </c>
      <c r="B28" s="1">
        <v>23</v>
      </c>
      <c r="C28" s="1" t="s">
        <v>58</v>
      </c>
      <c r="D28" s="1">
        <v>0</v>
      </c>
      <c r="E28" s="1" t="s">
        <v>45</v>
      </c>
      <c r="F28" s="1" t="s">
        <v>48</v>
      </c>
      <c r="G28" s="1">
        <v>10000</v>
      </c>
      <c r="H28" s="1" t="s">
        <v>15</v>
      </c>
      <c r="I28" s="1" t="s">
        <v>51</v>
      </c>
      <c r="J28" s="1" t="s">
        <v>5</v>
      </c>
      <c r="K28" s="1">
        <v>5</v>
      </c>
      <c r="L28">
        <v>600000</v>
      </c>
    </row>
    <row r="29" spans="1:12" x14ac:dyDescent="0.45">
      <c r="A29" s="1" t="s">
        <v>6</v>
      </c>
      <c r="B29" s="1">
        <v>28</v>
      </c>
      <c r="C29" s="1" t="s">
        <v>57</v>
      </c>
      <c r="D29" s="1">
        <v>120000</v>
      </c>
      <c r="E29" s="1" t="s">
        <v>8</v>
      </c>
      <c r="F29" s="1" t="s">
        <v>36</v>
      </c>
      <c r="G29" s="1">
        <v>1000</v>
      </c>
      <c r="H29" s="1" t="s">
        <v>60</v>
      </c>
      <c r="I29" s="1" t="s">
        <v>4</v>
      </c>
      <c r="J29" s="1" t="s">
        <v>53</v>
      </c>
      <c r="K29" s="1">
        <v>5</v>
      </c>
      <c r="L29">
        <v>60000</v>
      </c>
    </row>
    <row r="30" spans="1:12" x14ac:dyDescent="0.45">
      <c r="A30" s="1" t="s">
        <v>2</v>
      </c>
      <c r="B30" s="1">
        <v>48</v>
      </c>
      <c r="C30" s="1" t="s">
        <v>58</v>
      </c>
      <c r="D30" s="1">
        <v>0</v>
      </c>
      <c r="E30" s="1" t="s">
        <v>44</v>
      </c>
      <c r="F30" s="1" t="s">
        <v>47</v>
      </c>
      <c r="G30" s="1">
        <v>1000</v>
      </c>
      <c r="H30" s="1" t="s">
        <v>15</v>
      </c>
      <c r="I30" s="1" t="s">
        <v>4</v>
      </c>
      <c r="J30" s="1" t="s">
        <v>14</v>
      </c>
      <c r="K30" s="1">
        <v>5</v>
      </c>
      <c r="L30">
        <v>60000</v>
      </c>
    </row>
    <row r="31" spans="1:12" x14ac:dyDescent="0.45">
      <c r="A31" s="1" t="s">
        <v>2</v>
      </c>
      <c r="B31" s="1">
        <v>23</v>
      </c>
      <c r="C31" s="1" t="s">
        <v>58</v>
      </c>
      <c r="D31" s="1">
        <v>0</v>
      </c>
      <c r="E31" s="1" t="s">
        <v>45</v>
      </c>
      <c r="F31" s="1" t="s">
        <v>48</v>
      </c>
      <c r="G31" s="1">
        <v>20000</v>
      </c>
      <c r="H31" s="1" t="s">
        <v>15</v>
      </c>
      <c r="I31" s="1" t="s">
        <v>4</v>
      </c>
      <c r="J31" s="1" t="s">
        <v>14</v>
      </c>
      <c r="K31" s="1">
        <v>2</v>
      </c>
      <c r="L31">
        <v>480000</v>
      </c>
    </row>
    <row r="32" spans="1:12" x14ac:dyDescent="0.45">
      <c r="A32" s="1" t="s">
        <v>6</v>
      </c>
      <c r="B32" s="1">
        <v>23</v>
      </c>
      <c r="C32" s="1" t="s">
        <v>58</v>
      </c>
      <c r="D32" s="1">
        <v>0</v>
      </c>
      <c r="E32" s="1" t="s">
        <v>41</v>
      </c>
      <c r="F32" s="1" t="s">
        <v>38</v>
      </c>
      <c r="G32" s="1">
        <v>5000</v>
      </c>
      <c r="H32" s="1" t="s">
        <v>15</v>
      </c>
      <c r="I32" s="1" t="s">
        <v>4</v>
      </c>
      <c r="J32" s="1" t="s">
        <v>55</v>
      </c>
      <c r="K32" s="1">
        <v>2</v>
      </c>
      <c r="L32">
        <v>120000</v>
      </c>
    </row>
    <row r="33" spans="1:12" x14ac:dyDescent="0.45">
      <c r="A33" s="1" t="s">
        <v>6</v>
      </c>
      <c r="B33" s="1">
        <v>23</v>
      </c>
      <c r="C33" s="1" t="s">
        <v>57</v>
      </c>
      <c r="D33" s="1">
        <v>150000</v>
      </c>
      <c r="E33" s="1" t="s">
        <v>49</v>
      </c>
      <c r="F33" s="1" t="s">
        <v>50</v>
      </c>
      <c r="G33" s="1">
        <v>2000</v>
      </c>
      <c r="H33" s="1" t="s">
        <v>3</v>
      </c>
      <c r="I33" s="1" t="s">
        <v>4</v>
      </c>
      <c r="J33" s="1" t="s">
        <v>52</v>
      </c>
      <c r="K33" s="1">
        <v>4</v>
      </c>
      <c r="L33">
        <v>96000</v>
      </c>
    </row>
    <row r="34" spans="1:12" x14ac:dyDescent="0.45">
      <c r="A34" s="1" t="s">
        <v>6</v>
      </c>
      <c r="B34" s="1">
        <v>26</v>
      </c>
      <c r="C34" s="1" t="s">
        <v>57</v>
      </c>
      <c r="D34" s="1">
        <v>300000</v>
      </c>
      <c r="E34" s="1" t="s">
        <v>8</v>
      </c>
      <c r="F34" s="1" t="s">
        <v>36</v>
      </c>
      <c r="G34" s="1">
        <v>2000</v>
      </c>
      <c r="H34" s="1" t="s">
        <v>60</v>
      </c>
      <c r="I34" s="1" t="s">
        <v>7</v>
      </c>
      <c r="J34" s="1" t="s">
        <v>5</v>
      </c>
      <c r="K34" s="1">
        <v>10</v>
      </c>
      <c r="L34">
        <v>240000</v>
      </c>
    </row>
    <row r="35" spans="1:12" x14ac:dyDescent="0.45">
      <c r="A35" s="1" t="s">
        <v>6</v>
      </c>
      <c r="B35" s="1">
        <v>24</v>
      </c>
      <c r="C35" s="1" t="s">
        <v>57</v>
      </c>
      <c r="D35" s="1">
        <v>200000</v>
      </c>
      <c r="E35" s="1" t="s">
        <v>46</v>
      </c>
      <c r="F35" s="1" t="s">
        <v>42</v>
      </c>
      <c r="G35" s="1">
        <v>3000</v>
      </c>
      <c r="H35" s="1" t="s">
        <v>3</v>
      </c>
      <c r="I35" s="1" t="s">
        <v>4</v>
      </c>
      <c r="J35" s="1" t="s">
        <v>54</v>
      </c>
      <c r="K35" s="1">
        <v>10</v>
      </c>
      <c r="L35">
        <v>360000</v>
      </c>
    </row>
    <row r="36" spans="1:12" x14ac:dyDescent="0.45">
      <c r="A36" s="1" t="s">
        <v>2</v>
      </c>
      <c r="B36" s="1">
        <v>20</v>
      </c>
      <c r="C36" s="1" t="s">
        <v>58</v>
      </c>
      <c r="D36" s="1">
        <v>0</v>
      </c>
      <c r="E36" s="1" t="s">
        <v>44</v>
      </c>
      <c r="F36" s="1" t="s">
        <v>47</v>
      </c>
      <c r="G36" s="1">
        <v>2000</v>
      </c>
      <c r="H36" s="1" t="s">
        <v>3</v>
      </c>
      <c r="I36" s="1" t="s">
        <v>4</v>
      </c>
      <c r="J36" s="1" t="s">
        <v>14</v>
      </c>
      <c r="K36" s="1">
        <v>6</v>
      </c>
      <c r="L36">
        <v>144000</v>
      </c>
    </row>
    <row r="37" spans="1:12" x14ac:dyDescent="0.45">
      <c r="A37" s="1" t="s">
        <v>2</v>
      </c>
      <c r="B37" s="1">
        <v>19</v>
      </c>
      <c r="C37" s="1" t="s">
        <v>58</v>
      </c>
      <c r="D37" s="1">
        <v>0</v>
      </c>
      <c r="E37" s="1" t="s">
        <v>45</v>
      </c>
      <c r="F37" s="1" t="s">
        <v>48</v>
      </c>
      <c r="G37" s="1">
        <v>5000</v>
      </c>
      <c r="H37" s="1" t="s">
        <v>59</v>
      </c>
      <c r="I37" s="1" t="s">
        <v>7</v>
      </c>
      <c r="J37" s="1" t="s">
        <v>14</v>
      </c>
      <c r="K37" s="1">
        <v>5</v>
      </c>
      <c r="L37">
        <v>300000</v>
      </c>
    </row>
    <row r="38" spans="1:12" x14ac:dyDescent="0.45">
      <c r="A38" s="1" t="s">
        <v>2</v>
      </c>
      <c r="B38" s="1">
        <v>20</v>
      </c>
      <c r="C38" s="1" t="s">
        <v>58</v>
      </c>
      <c r="D38" s="1">
        <v>80</v>
      </c>
      <c r="E38" s="1" t="s">
        <v>45</v>
      </c>
      <c r="F38" s="1" t="s">
        <v>48</v>
      </c>
      <c r="G38" s="1">
        <v>1000</v>
      </c>
      <c r="H38" s="1" t="s">
        <v>15</v>
      </c>
      <c r="I38" s="1" t="s">
        <v>4</v>
      </c>
      <c r="J38" s="1" t="s">
        <v>14</v>
      </c>
      <c r="K38" s="1">
        <v>5</v>
      </c>
      <c r="L38">
        <v>60000</v>
      </c>
    </row>
    <row r="39" spans="1:12" x14ac:dyDescent="0.45">
      <c r="A39" s="1" t="s">
        <v>2</v>
      </c>
      <c r="B39" s="1">
        <v>22</v>
      </c>
      <c r="C39" s="1" t="s">
        <v>58</v>
      </c>
      <c r="D39" s="1">
        <v>0</v>
      </c>
      <c r="E39" s="1" t="s">
        <v>49</v>
      </c>
      <c r="F39" s="1" t="s">
        <v>50</v>
      </c>
      <c r="G39" s="1">
        <v>2000</v>
      </c>
      <c r="H39" s="1" t="s">
        <v>15</v>
      </c>
      <c r="I39" s="1" t="s">
        <v>4</v>
      </c>
      <c r="J39" s="1" t="s">
        <v>19</v>
      </c>
      <c r="K39" s="1">
        <v>3</v>
      </c>
      <c r="L39">
        <v>72000</v>
      </c>
    </row>
    <row r="40" spans="1:12" x14ac:dyDescent="0.45">
      <c r="A40" s="1" t="s">
        <v>2</v>
      </c>
      <c r="B40" s="1">
        <v>21</v>
      </c>
      <c r="C40" s="1" t="s">
        <v>57</v>
      </c>
      <c r="D40" s="1">
        <v>120000</v>
      </c>
      <c r="E40" s="1" t="s">
        <v>8</v>
      </c>
      <c r="F40" s="1" t="s">
        <v>36</v>
      </c>
      <c r="G40" s="1">
        <v>3000</v>
      </c>
      <c r="H40" s="1" t="s">
        <v>60</v>
      </c>
      <c r="I40" s="1" t="s">
        <v>4</v>
      </c>
      <c r="J40" s="1" t="s">
        <v>54</v>
      </c>
      <c r="K40" s="1">
        <v>10</v>
      </c>
      <c r="L40">
        <v>360000</v>
      </c>
    </row>
    <row r="41" spans="1:12" x14ac:dyDescent="0.45">
      <c r="A41" s="1" t="s">
        <v>6</v>
      </c>
      <c r="B41" s="1">
        <v>30</v>
      </c>
      <c r="C41" s="1" t="s">
        <v>57</v>
      </c>
      <c r="D41" s="1">
        <v>180000</v>
      </c>
      <c r="E41" s="1" t="s">
        <v>8</v>
      </c>
      <c r="F41" s="1" t="s">
        <v>36</v>
      </c>
      <c r="G41" s="1">
        <v>3000</v>
      </c>
      <c r="H41" s="1" t="s">
        <v>3</v>
      </c>
      <c r="I41" s="1" t="s">
        <v>4</v>
      </c>
      <c r="J41" s="1" t="s">
        <v>14</v>
      </c>
      <c r="K41" s="1">
        <v>10</v>
      </c>
      <c r="L41">
        <v>360000</v>
      </c>
    </row>
    <row r="42" spans="1:12" x14ac:dyDescent="0.45">
      <c r="A42" s="1" t="s">
        <v>6</v>
      </c>
      <c r="B42" s="1">
        <v>45</v>
      </c>
      <c r="C42" s="1" t="s">
        <v>57</v>
      </c>
      <c r="D42" s="1">
        <v>200000</v>
      </c>
      <c r="E42" s="1" t="s">
        <v>8</v>
      </c>
      <c r="F42" s="1" t="s">
        <v>36</v>
      </c>
      <c r="G42" s="1">
        <v>2000</v>
      </c>
      <c r="H42" s="1" t="s">
        <v>16</v>
      </c>
      <c r="I42" s="1" t="s">
        <v>10</v>
      </c>
      <c r="J42" s="1" t="s">
        <v>5</v>
      </c>
      <c r="K42" s="1">
        <v>20</v>
      </c>
      <c r="L42">
        <v>480000</v>
      </c>
    </row>
    <row r="43" spans="1:12" x14ac:dyDescent="0.45">
      <c r="A43" s="1" t="s">
        <v>2</v>
      </c>
      <c r="B43" s="1">
        <v>21</v>
      </c>
      <c r="C43" s="1" t="s">
        <v>58</v>
      </c>
      <c r="D43" s="1">
        <v>0</v>
      </c>
      <c r="E43" s="1" t="s">
        <v>8</v>
      </c>
      <c r="F43" s="1" t="s">
        <v>36</v>
      </c>
      <c r="G43" s="1">
        <v>10000</v>
      </c>
      <c r="H43" s="1" t="s">
        <v>3</v>
      </c>
      <c r="I43" s="1" t="s">
        <v>7</v>
      </c>
      <c r="J43" s="1" t="s">
        <v>14</v>
      </c>
      <c r="K43" s="1">
        <v>10</v>
      </c>
      <c r="L43">
        <v>1200000</v>
      </c>
    </row>
    <row r="44" spans="1:12" x14ac:dyDescent="0.45">
      <c r="A44" s="1" t="s">
        <v>2</v>
      </c>
      <c r="B44" s="1">
        <v>21</v>
      </c>
      <c r="C44" s="1" t="s">
        <v>58</v>
      </c>
      <c r="D44" s="1">
        <v>0</v>
      </c>
      <c r="E44" s="1" t="s">
        <v>45</v>
      </c>
      <c r="F44" s="1" t="s">
        <v>48</v>
      </c>
      <c r="G44" s="1">
        <v>1000</v>
      </c>
      <c r="H44" s="1" t="s">
        <v>15</v>
      </c>
      <c r="I44" s="1" t="s">
        <v>4</v>
      </c>
      <c r="J44" s="1" t="s">
        <v>55</v>
      </c>
      <c r="K44" s="1">
        <v>1</v>
      </c>
      <c r="L44">
        <v>12000</v>
      </c>
    </row>
    <row r="45" spans="1:12" x14ac:dyDescent="0.45">
      <c r="A45" s="1" t="s">
        <v>6</v>
      </c>
      <c r="B45" s="1">
        <v>22</v>
      </c>
      <c r="C45" s="1" t="s">
        <v>58</v>
      </c>
      <c r="D45" s="1">
        <v>0</v>
      </c>
      <c r="E45" s="1" t="s">
        <v>44</v>
      </c>
      <c r="F45" s="1" t="s">
        <v>47</v>
      </c>
      <c r="G45" s="1">
        <v>2000</v>
      </c>
      <c r="H45" s="1" t="s">
        <v>3</v>
      </c>
      <c r="I45" s="1" t="s">
        <v>4</v>
      </c>
      <c r="J45" s="1" t="s">
        <v>14</v>
      </c>
      <c r="K45" s="1">
        <v>10</v>
      </c>
      <c r="L45">
        <v>240000</v>
      </c>
    </row>
    <row r="46" spans="1:12" x14ac:dyDescent="0.45">
      <c r="A46" s="1" t="s">
        <v>2</v>
      </c>
      <c r="B46" s="1">
        <v>24</v>
      </c>
      <c r="C46" s="1" t="s">
        <v>57</v>
      </c>
      <c r="D46" s="1">
        <v>200000</v>
      </c>
      <c r="E46" s="1" t="s">
        <v>45</v>
      </c>
      <c r="F46" s="1" t="s">
        <v>48</v>
      </c>
      <c r="G46" s="1">
        <v>1000</v>
      </c>
      <c r="H46" s="1" t="s">
        <v>15</v>
      </c>
      <c r="I46" s="1" t="s">
        <v>7</v>
      </c>
      <c r="J46" s="1" t="s">
        <v>14</v>
      </c>
      <c r="K46" s="1">
        <v>10</v>
      </c>
      <c r="L46">
        <v>120000</v>
      </c>
    </row>
    <row r="47" spans="1:12" x14ac:dyDescent="0.45">
      <c r="A47" s="1" t="s">
        <v>6</v>
      </c>
      <c r="B47" s="1">
        <v>22</v>
      </c>
      <c r="C47" s="1" t="s">
        <v>58</v>
      </c>
      <c r="D47" s="1">
        <v>0</v>
      </c>
      <c r="E47" s="1" t="s">
        <v>44</v>
      </c>
      <c r="F47" s="1" t="s">
        <v>47</v>
      </c>
      <c r="G47" s="1">
        <v>500</v>
      </c>
      <c r="H47" s="1" t="s">
        <v>3</v>
      </c>
      <c r="I47" s="1" t="s">
        <v>4</v>
      </c>
      <c r="J47" s="1" t="s">
        <v>14</v>
      </c>
      <c r="K47" s="1">
        <v>6</v>
      </c>
      <c r="L47">
        <v>36000</v>
      </c>
    </row>
    <row r="48" spans="1:12" x14ac:dyDescent="0.45">
      <c r="A48" s="1" t="s">
        <v>2</v>
      </c>
      <c r="B48" s="1">
        <v>24</v>
      </c>
      <c r="C48" s="1" t="s">
        <v>58</v>
      </c>
      <c r="D48" s="1">
        <v>0</v>
      </c>
      <c r="E48" s="1" t="s">
        <v>45</v>
      </c>
      <c r="F48" s="1" t="s">
        <v>48</v>
      </c>
      <c r="G48" s="1">
        <v>1000</v>
      </c>
      <c r="H48" s="1" t="s">
        <v>59</v>
      </c>
      <c r="I48" s="1" t="s">
        <v>10</v>
      </c>
      <c r="J48" s="1" t="s">
        <v>5</v>
      </c>
      <c r="K48" s="1">
        <v>7</v>
      </c>
      <c r="L48">
        <v>84000</v>
      </c>
    </row>
    <row r="49" spans="1:12" x14ac:dyDescent="0.45">
      <c r="A49" s="1" t="s">
        <v>6</v>
      </c>
      <c r="B49" s="1">
        <v>29</v>
      </c>
      <c r="C49" s="1" t="s">
        <v>57</v>
      </c>
      <c r="D49" s="1">
        <v>280000</v>
      </c>
      <c r="E49" s="1" t="s">
        <v>49</v>
      </c>
      <c r="F49" s="1" t="s">
        <v>50</v>
      </c>
      <c r="G49" s="1">
        <v>4000</v>
      </c>
      <c r="H49" s="1" t="s">
        <v>3</v>
      </c>
      <c r="I49" s="1" t="s">
        <v>4</v>
      </c>
      <c r="J49" s="1" t="s">
        <v>14</v>
      </c>
      <c r="K49" s="1">
        <v>4</v>
      </c>
      <c r="L49">
        <v>192000</v>
      </c>
    </row>
    <row r="50" spans="1:12" x14ac:dyDescent="0.45">
      <c r="A50" s="1" t="s">
        <v>2</v>
      </c>
      <c r="B50" s="1">
        <v>26</v>
      </c>
      <c r="C50" s="1" t="s">
        <v>57</v>
      </c>
      <c r="D50" s="1">
        <v>350000</v>
      </c>
      <c r="E50" s="1" t="s">
        <v>8</v>
      </c>
      <c r="F50" s="1" t="s">
        <v>36</v>
      </c>
      <c r="G50" s="1">
        <v>3000</v>
      </c>
      <c r="H50" s="1" t="s">
        <v>20</v>
      </c>
      <c r="I50" s="1" t="s">
        <v>51</v>
      </c>
      <c r="J50" s="1" t="s">
        <v>21</v>
      </c>
      <c r="K50" s="1">
        <v>10</v>
      </c>
      <c r="L50">
        <v>360000</v>
      </c>
    </row>
    <row r="51" spans="1:12" x14ac:dyDescent="0.45">
      <c r="A51" s="1" t="s">
        <v>2</v>
      </c>
      <c r="B51" s="1">
        <v>22</v>
      </c>
      <c r="C51" s="1" t="s">
        <v>58</v>
      </c>
      <c r="D51" s="1">
        <v>0</v>
      </c>
      <c r="E51" s="1" t="s">
        <v>45</v>
      </c>
      <c r="F51" s="1" t="s">
        <v>48</v>
      </c>
      <c r="G51" s="1">
        <v>2000</v>
      </c>
      <c r="H51" s="1" t="s">
        <v>15</v>
      </c>
      <c r="I51" s="1" t="s">
        <v>7</v>
      </c>
      <c r="J51" s="1" t="s">
        <v>14</v>
      </c>
      <c r="K51" s="1">
        <v>6</v>
      </c>
      <c r="L51">
        <v>144000</v>
      </c>
    </row>
    <row r="52" spans="1:12" x14ac:dyDescent="0.45">
      <c r="A52" s="1" t="s">
        <v>6</v>
      </c>
      <c r="B52" s="1">
        <v>27</v>
      </c>
      <c r="C52" s="1" t="s">
        <v>57</v>
      </c>
      <c r="D52" s="1">
        <v>400000</v>
      </c>
      <c r="E52" s="1" t="s">
        <v>8</v>
      </c>
      <c r="F52" s="1" t="s">
        <v>36</v>
      </c>
      <c r="G52" s="1">
        <v>5000</v>
      </c>
      <c r="H52" s="1" t="s">
        <v>59</v>
      </c>
      <c r="I52" s="1" t="s">
        <v>7</v>
      </c>
      <c r="J52" s="1" t="s">
        <v>21</v>
      </c>
      <c r="K52" s="1">
        <v>8</v>
      </c>
      <c r="L52">
        <v>480000</v>
      </c>
    </row>
    <row r="53" spans="1:12" x14ac:dyDescent="0.45">
      <c r="A53" s="1" t="s">
        <v>2</v>
      </c>
      <c r="B53" s="1">
        <v>24</v>
      </c>
      <c r="C53" s="1" t="s">
        <v>57</v>
      </c>
      <c r="D53" s="1">
        <v>250000</v>
      </c>
      <c r="E53" s="1" t="s">
        <v>45</v>
      </c>
      <c r="F53" s="1" t="s">
        <v>48</v>
      </c>
      <c r="G53" s="1">
        <v>2000</v>
      </c>
      <c r="H53" s="1" t="s">
        <v>15</v>
      </c>
      <c r="I53" s="1" t="s">
        <v>4</v>
      </c>
      <c r="J53" s="1" t="s">
        <v>52</v>
      </c>
      <c r="K53" s="1">
        <v>6</v>
      </c>
      <c r="L53">
        <v>144000</v>
      </c>
    </row>
    <row r="54" spans="1:12" x14ac:dyDescent="0.45">
      <c r="A54" s="1" t="s">
        <v>2</v>
      </c>
      <c r="B54" s="1">
        <v>25</v>
      </c>
      <c r="C54" s="1" t="s">
        <v>57</v>
      </c>
      <c r="D54" s="1">
        <v>400000</v>
      </c>
      <c r="E54" s="1" t="s">
        <v>8</v>
      </c>
      <c r="F54" s="1" t="s">
        <v>36</v>
      </c>
      <c r="G54" s="1">
        <v>2500</v>
      </c>
      <c r="H54" s="1" t="s">
        <v>17</v>
      </c>
      <c r="I54" s="1" t="s">
        <v>4</v>
      </c>
      <c r="J54" s="1" t="s">
        <v>54</v>
      </c>
      <c r="K54" s="1">
        <v>10</v>
      </c>
      <c r="L54">
        <v>300000</v>
      </c>
    </row>
    <row r="55" spans="1:12" x14ac:dyDescent="0.45">
      <c r="A55" s="1" t="s">
        <v>6</v>
      </c>
      <c r="B55" s="1">
        <v>22</v>
      </c>
      <c r="C55" s="1" t="s">
        <v>58</v>
      </c>
      <c r="D55" s="1">
        <v>0</v>
      </c>
      <c r="E55" s="1" t="s">
        <v>45</v>
      </c>
      <c r="F55" s="1" t="s">
        <v>48</v>
      </c>
      <c r="G55" s="1">
        <v>500</v>
      </c>
      <c r="H55" s="1" t="s">
        <v>15</v>
      </c>
      <c r="I55" s="1" t="s">
        <v>10</v>
      </c>
      <c r="J55" s="1" t="s">
        <v>52</v>
      </c>
      <c r="K55" s="1">
        <v>5</v>
      </c>
      <c r="L55">
        <v>30000</v>
      </c>
    </row>
    <row r="56" spans="1:12" x14ac:dyDescent="0.45">
      <c r="A56" s="1" t="s">
        <v>2</v>
      </c>
      <c r="B56" s="1">
        <v>26</v>
      </c>
      <c r="C56" s="1" t="s">
        <v>57</v>
      </c>
      <c r="D56" s="1">
        <v>400000</v>
      </c>
      <c r="E56" s="1" t="s">
        <v>46</v>
      </c>
      <c r="F56" s="1" t="s">
        <v>42</v>
      </c>
      <c r="G56" s="1">
        <v>4500</v>
      </c>
      <c r="H56" s="1" t="s">
        <v>22</v>
      </c>
      <c r="I56" s="1" t="s">
        <v>4</v>
      </c>
      <c r="J56" s="1" t="s">
        <v>5</v>
      </c>
      <c r="K56" s="1">
        <v>10</v>
      </c>
      <c r="L56">
        <v>540000</v>
      </c>
    </row>
    <row r="57" spans="1:12" x14ac:dyDescent="0.45">
      <c r="A57" s="1" t="s">
        <v>2</v>
      </c>
      <c r="B57" s="1">
        <v>21</v>
      </c>
      <c r="C57" s="1" t="s">
        <v>58</v>
      </c>
      <c r="D57" s="1">
        <v>0</v>
      </c>
      <c r="E57" s="1" t="s">
        <v>11</v>
      </c>
      <c r="F57" s="1" t="s">
        <v>37</v>
      </c>
      <c r="G57" s="1">
        <v>0</v>
      </c>
      <c r="H57" s="1" t="s">
        <v>59</v>
      </c>
      <c r="I57" s="1" t="s">
        <v>7</v>
      </c>
      <c r="J57" s="1" t="s">
        <v>54</v>
      </c>
      <c r="K57" s="1">
        <v>15</v>
      </c>
      <c r="L57">
        <v>0</v>
      </c>
    </row>
    <row r="58" spans="1:12" x14ac:dyDescent="0.45">
      <c r="A58" s="1" t="s">
        <v>2</v>
      </c>
      <c r="B58" s="1">
        <v>28</v>
      </c>
      <c r="C58" s="1" t="s">
        <v>57</v>
      </c>
      <c r="D58" s="1">
        <v>350000</v>
      </c>
      <c r="E58" s="1" t="s">
        <v>8</v>
      </c>
      <c r="F58" s="1" t="s">
        <v>36</v>
      </c>
      <c r="G58" s="1">
        <v>5000</v>
      </c>
      <c r="H58" s="1" t="s">
        <v>17</v>
      </c>
      <c r="I58" s="1" t="s">
        <v>4</v>
      </c>
      <c r="J58" s="1" t="s">
        <v>53</v>
      </c>
      <c r="K58" s="1">
        <v>15</v>
      </c>
      <c r="L58">
        <v>900000</v>
      </c>
    </row>
    <row r="59" spans="1:12" x14ac:dyDescent="0.45">
      <c r="A59" s="1" t="s">
        <v>6</v>
      </c>
      <c r="B59" s="1">
        <v>24</v>
      </c>
      <c r="C59" s="1" t="s">
        <v>57</v>
      </c>
      <c r="D59" s="1">
        <v>200000</v>
      </c>
      <c r="E59" s="1" t="s">
        <v>45</v>
      </c>
      <c r="F59" s="1" t="s">
        <v>48</v>
      </c>
      <c r="G59" s="1">
        <v>1000</v>
      </c>
      <c r="H59" s="1" t="s">
        <v>15</v>
      </c>
      <c r="I59" s="1" t="s">
        <v>7</v>
      </c>
      <c r="J59" s="1" t="s">
        <v>55</v>
      </c>
      <c r="K59" s="1">
        <v>15</v>
      </c>
      <c r="L59">
        <v>180000</v>
      </c>
    </row>
    <row r="60" spans="1:12" x14ac:dyDescent="0.45">
      <c r="A60" s="1" t="s">
        <v>2</v>
      </c>
      <c r="B60" s="1">
        <v>25</v>
      </c>
      <c r="C60" s="1" t="s">
        <v>57</v>
      </c>
      <c r="D60" s="1">
        <v>350000</v>
      </c>
      <c r="E60" s="1" t="s">
        <v>49</v>
      </c>
      <c r="F60" s="1" t="s">
        <v>50</v>
      </c>
      <c r="G60" s="1">
        <v>2500</v>
      </c>
      <c r="H60" s="1" t="s">
        <v>3</v>
      </c>
      <c r="I60" s="1" t="s">
        <v>4</v>
      </c>
      <c r="J60" s="1" t="s">
        <v>21</v>
      </c>
      <c r="K60" s="1">
        <v>4</v>
      </c>
      <c r="L60">
        <v>120000</v>
      </c>
    </row>
    <row r="61" spans="1:12" x14ac:dyDescent="0.45">
      <c r="A61" s="1" t="s">
        <v>2</v>
      </c>
      <c r="B61" s="1">
        <v>26</v>
      </c>
      <c r="C61" s="1" t="s">
        <v>57</v>
      </c>
      <c r="D61" s="1">
        <v>400000</v>
      </c>
      <c r="E61" s="1" t="s">
        <v>8</v>
      </c>
      <c r="F61" s="1" t="s">
        <v>36</v>
      </c>
      <c r="G61" s="1">
        <v>2500</v>
      </c>
      <c r="H61" s="1" t="s">
        <v>60</v>
      </c>
      <c r="I61" s="1" t="s">
        <v>51</v>
      </c>
      <c r="J61" s="1" t="s">
        <v>52</v>
      </c>
      <c r="K61" s="1">
        <v>10</v>
      </c>
      <c r="L61">
        <v>300000</v>
      </c>
    </row>
    <row r="62" spans="1:12" x14ac:dyDescent="0.45">
      <c r="A62" s="1" t="s">
        <v>6</v>
      </c>
      <c r="B62" s="1">
        <v>18</v>
      </c>
      <c r="C62" s="1" t="s">
        <v>58</v>
      </c>
      <c r="D62" s="1">
        <v>0</v>
      </c>
      <c r="E62" s="1" t="s">
        <v>44</v>
      </c>
      <c r="F62" s="1" t="s">
        <v>47</v>
      </c>
      <c r="G62" s="1">
        <v>200</v>
      </c>
      <c r="H62" s="1" t="s">
        <v>3</v>
      </c>
      <c r="I62" s="1" t="s">
        <v>4</v>
      </c>
      <c r="J62" s="1" t="s">
        <v>14</v>
      </c>
      <c r="K62" s="1">
        <v>5</v>
      </c>
      <c r="L62">
        <v>12000</v>
      </c>
    </row>
    <row r="63" spans="1:12" x14ac:dyDescent="0.45">
      <c r="A63" s="1" t="s">
        <v>2</v>
      </c>
      <c r="B63" s="1">
        <v>27</v>
      </c>
      <c r="C63" s="1" t="s">
        <v>57</v>
      </c>
      <c r="D63" s="1">
        <v>400000</v>
      </c>
      <c r="E63" s="1" t="s">
        <v>45</v>
      </c>
      <c r="F63" s="1" t="s">
        <v>48</v>
      </c>
      <c r="G63" s="1">
        <v>1000</v>
      </c>
      <c r="H63" s="1" t="s">
        <v>59</v>
      </c>
      <c r="I63" s="1" t="s">
        <v>7</v>
      </c>
      <c r="J63" s="1" t="s">
        <v>5</v>
      </c>
      <c r="K63" s="1">
        <v>8</v>
      </c>
      <c r="L63">
        <v>96000</v>
      </c>
    </row>
    <row r="64" spans="1:12" x14ac:dyDescent="0.45">
      <c r="A64" s="1" t="s">
        <v>2</v>
      </c>
      <c r="B64" s="1">
        <v>27</v>
      </c>
      <c r="C64" s="1" t="s">
        <v>57</v>
      </c>
      <c r="D64" s="1">
        <v>250000</v>
      </c>
      <c r="E64" s="1" t="s">
        <v>45</v>
      </c>
      <c r="F64" s="1" t="s">
        <v>48</v>
      </c>
      <c r="G64" s="1">
        <v>1500</v>
      </c>
      <c r="H64" s="1" t="s">
        <v>15</v>
      </c>
      <c r="I64" s="1" t="s">
        <v>7</v>
      </c>
      <c r="J64" s="1" t="s">
        <v>54</v>
      </c>
      <c r="K64" s="1">
        <v>5</v>
      </c>
      <c r="L64">
        <v>90000</v>
      </c>
    </row>
    <row r="65" spans="1:12" x14ac:dyDescent="0.45">
      <c r="A65" s="1" t="s">
        <v>6</v>
      </c>
      <c r="B65" s="1">
        <v>23</v>
      </c>
      <c r="C65" s="1" t="s">
        <v>57</v>
      </c>
      <c r="D65" s="1">
        <v>150000</v>
      </c>
      <c r="E65" s="1" t="s">
        <v>45</v>
      </c>
      <c r="F65" s="1" t="s">
        <v>48</v>
      </c>
      <c r="G65" s="1">
        <v>1000</v>
      </c>
      <c r="H65" s="1" t="s">
        <v>3</v>
      </c>
      <c r="I65" s="1" t="s">
        <v>4</v>
      </c>
      <c r="J65" s="1" t="s">
        <v>14</v>
      </c>
      <c r="K65" s="1">
        <v>7</v>
      </c>
      <c r="L65">
        <v>84000</v>
      </c>
    </row>
    <row r="66" spans="1:12" x14ac:dyDescent="0.45">
      <c r="A66" s="1" t="s">
        <v>2</v>
      </c>
      <c r="B66" s="1">
        <v>36</v>
      </c>
      <c r="C66" s="1" t="s">
        <v>57</v>
      </c>
      <c r="D66" s="1">
        <v>600000</v>
      </c>
      <c r="E66" s="1" t="s">
        <v>46</v>
      </c>
      <c r="F66" s="1" t="s">
        <v>42</v>
      </c>
      <c r="G66" s="1">
        <v>8500</v>
      </c>
      <c r="H66" s="1" t="s">
        <v>15</v>
      </c>
      <c r="I66" s="1" t="s">
        <v>51</v>
      </c>
      <c r="J66" s="1" t="s">
        <v>21</v>
      </c>
      <c r="K66" s="1">
        <v>10</v>
      </c>
      <c r="L66">
        <v>1020000</v>
      </c>
    </row>
    <row r="67" spans="1:12" x14ac:dyDescent="0.45">
      <c r="A67" s="1" t="s">
        <v>6</v>
      </c>
      <c r="B67" s="1">
        <v>29</v>
      </c>
      <c r="C67" s="1" t="s">
        <v>58</v>
      </c>
      <c r="D67" s="1">
        <v>0</v>
      </c>
      <c r="E67" s="1" t="s">
        <v>23</v>
      </c>
      <c r="F67" s="1" t="s">
        <v>43</v>
      </c>
      <c r="G67" s="1">
        <v>1000</v>
      </c>
      <c r="H67" s="1" t="s">
        <v>3</v>
      </c>
      <c r="I67" s="1" t="s">
        <v>4</v>
      </c>
      <c r="J67" s="1" t="s">
        <v>14</v>
      </c>
      <c r="K67" s="1">
        <v>1</v>
      </c>
      <c r="L67">
        <v>12000</v>
      </c>
    </row>
    <row r="68" spans="1:12" x14ac:dyDescent="0.45">
      <c r="A68" s="1" t="s">
        <v>2</v>
      </c>
      <c r="B68" s="1">
        <v>28</v>
      </c>
      <c r="C68" s="1" t="s">
        <v>57</v>
      </c>
      <c r="D68" s="1">
        <v>400000</v>
      </c>
      <c r="E68" s="1" t="s">
        <v>45</v>
      </c>
      <c r="F68" s="1" t="s">
        <v>48</v>
      </c>
      <c r="G68" s="1">
        <v>1200</v>
      </c>
      <c r="H68" s="1" t="s">
        <v>59</v>
      </c>
      <c r="I68" s="1" t="s">
        <v>7</v>
      </c>
      <c r="J68" s="1" t="s">
        <v>55</v>
      </c>
      <c r="K68" s="1">
        <v>15</v>
      </c>
      <c r="L68">
        <v>216000</v>
      </c>
    </row>
    <row r="69" spans="1:12" x14ac:dyDescent="0.45">
      <c r="A69" s="1" t="s">
        <v>2</v>
      </c>
      <c r="B69" s="1">
        <v>23</v>
      </c>
      <c r="C69" s="1" t="s">
        <v>57</v>
      </c>
      <c r="D69" s="1">
        <v>150000</v>
      </c>
      <c r="E69" s="1" t="s">
        <v>8</v>
      </c>
      <c r="F69" s="1" t="s">
        <v>36</v>
      </c>
      <c r="G69" s="1">
        <v>500</v>
      </c>
      <c r="H69" s="1" t="s">
        <v>60</v>
      </c>
      <c r="I69" s="1" t="s">
        <v>24</v>
      </c>
      <c r="J69" s="1" t="s">
        <v>5</v>
      </c>
      <c r="K69" s="1">
        <v>8</v>
      </c>
      <c r="L69">
        <v>48000</v>
      </c>
    </row>
    <row r="70" spans="1:12" x14ac:dyDescent="0.45">
      <c r="A70" s="1" t="s">
        <v>6</v>
      </c>
      <c r="B70" s="1">
        <v>27</v>
      </c>
      <c r="C70" s="1" t="s">
        <v>57</v>
      </c>
      <c r="D70" s="1">
        <v>350000</v>
      </c>
      <c r="E70" s="1" t="s">
        <v>44</v>
      </c>
      <c r="F70" s="1" t="s">
        <v>47</v>
      </c>
      <c r="G70" s="1">
        <v>2500</v>
      </c>
      <c r="H70" s="1" t="s">
        <v>3</v>
      </c>
      <c r="I70" s="1" t="s">
        <v>4</v>
      </c>
      <c r="J70" s="1" t="s">
        <v>53</v>
      </c>
      <c r="K70" s="1">
        <v>10</v>
      </c>
      <c r="L70">
        <v>300000</v>
      </c>
    </row>
    <row r="71" spans="1:12" x14ac:dyDescent="0.45">
      <c r="A71" s="1" t="s">
        <v>2</v>
      </c>
      <c r="B71" s="1">
        <v>29</v>
      </c>
      <c r="C71" s="1" t="s">
        <v>57</v>
      </c>
      <c r="D71" s="1">
        <v>400000</v>
      </c>
      <c r="E71" s="1" t="s">
        <v>8</v>
      </c>
      <c r="F71" s="1" t="s">
        <v>36</v>
      </c>
      <c r="G71" s="1">
        <v>3000</v>
      </c>
      <c r="H71" s="1" t="s">
        <v>15</v>
      </c>
      <c r="I71" s="1" t="s">
        <v>10</v>
      </c>
      <c r="J71" s="1" t="s">
        <v>53</v>
      </c>
      <c r="K71" s="1">
        <v>10</v>
      </c>
      <c r="L71">
        <v>360000</v>
      </c>
    </row>
    <row r="72" spans="1:12" x14ac:dyDescent="0.45">
      <c r="A72" s="1" t="s">
        <v>6</v>
      </c>
      <c r="B72" s="1">
        <v>25</v>
      </c>
      <c r="C72" s="1" t="s">
        <v>57</v>
      </c>
      <c r="D72" s="1">
        <v>400000</v>
      </c>
      <c r="E72" s="1" t="s">
        <v>8</v>
      </c>
      <c r="F72" s="1" t="s">
        <v>36</v>
      </c>
      <c r="G72" s="1">
        <v>3000</v>
      </c>
      <c r="H72" s="1" t="s">
        <v>17</v>
      </c>
      <c r="I72" s="1" t="s">
        <v>7</v>
      </c>
      <c r="J72" s="1" t="s">
        <v>5</v>
      </c>
      <c r="K72" s="1">
        <v>8</v>
      </c>
      <c r="L72">
        <v>288000</v>
      </c>
    </row>
    <row r="73" spans="1:12" x14ac:dyDescent="0.45">
      <c r="A73" s="1" t="s">
        <v>2</v>
      </c>
      <c r="B73" s="1">
        <v>35</v>
      </c>
      <c r="C73" s="1" t="s">
        <v>57</v>
      </c>
      <c r="D73" s="1">
        <v>300000</v>
      </c>
      <c r="E73" s="1" t="s">
        <v>44</v>
      </c>
      <c r="F73" s="1" t="s">
        <v>47</v>
      </c>
      <c r="G73" s="1">
        <v>2000</v>
      </c>
      <c r="H73" s="1" t="s">
        <v>17</v>
      </c>
      <c r="I73" s="1" t="s">
        <v>7</v>
      </c>
      <c r="J73" s="1" t="s">
        <v>55</v>
      </c>
      <c r="K73" s="1">
        <v>10</v>
      </c>
      <c r="L73">
        <v>240000</v>
      </c>
    </row>
    <row r="74" spans="1:12" x14ac:dyDescent="0.45">
      <c r="A74" s="1" t="s">
        <v>2</v>
      </c>
      <c r="B74" s="1">
        <v>37</v>
      </c>
      <c r="C74" s="1" t="s">
        <v>57</v>
      </c>
      <c r="D74" s="1">
        <v>400000</v>
      </c>
      <c r="E74" s="1" t="s">
        <v>44</v>
      </c>
      <c r="F74" s="1" t="s">
        <v>47</v>
      </c>
      <c r="G74" s="1">
        <v>5000</v>
      </c>
      <c r="H74" s="1" t="s">
        <v>60</v>
      </c>
      <c r="I74" s="1" t="s">
        <v>51</v>
      </c>
      <c r="J74" s="1" t="s">
        <v>21</v>
      </c>
      <c r="K74" s="1">
        <v>21</v>
      </c>
      <c r="L74">
        <v>1260000</v>
      </c>
    </row>
    <row r="75" spans="1:12" x14ac:dyDescent="0.45">
      <c r="A75" s="1" t="s">
        <v>6</v>
      </c>
      <c r="B75" s="1">
        <v>23</v>
      </c>
      <c r="C75" s="1" t="s">
        <v>57</v>
      </c>
      <c r="D75" s="1">
        <v>400000</v>
      </c>
      <c r="E75" s="1" t="s">
        <v>44</v>
      </c>
      <c r="F75" s="1" t="s">
        <v>47</v>
      </c>
      <c r="G75" s="1">
        <v>15000</v>
      </c>
      <c r="H75" s="1" t="s">
        <v>3</v>
      </c>
      <c r="I75" s="1" t="s">
        <v>4</v>
      </c>
      <c r="J75" s="1" t="s">
        <v>14</v>
      </c>
      <c r="K75" s="1">
        <v>2</v>
      </c>
      <c r="L75">
        <v>360000</v>
      </c>
    </row>
    <row r="76" spans="1:12" x14ac:dyDescent="0.45">
      <c r="A76" s="1" t="s">
        <v>2</v>
      </c>
      <c r="B76" s="1">
        <v>18</v>
      </c>
      <c r="C76" s="1" t="s">
        <v>58</v>
      </c>
      <c r="D76" s="1">
        <v>0</v>
      </c>
      <c r="E76" s="1" t="s">
        <v>11</v>
      </c>
      <c r="F76" s="1" t="s">
        <v>37</v>
      </c>
      <c r="G76" s="1">
        <v>5000</v>
      </c>
      <c r="H76" s="1" t="s">
        <v>59</v>
      </c>
      <c r="I76" s="1" t="s">
        <v>7</v>
      </c>
      <c r="J76" s="1" t="s">
        <v>54</v>
      </c>
      <c r="K76" s="1">
        <v>5</v>
      </c>
      <c r="L76">
        <v>300000</v>
      </c>
    </row>
    <row r="77" spans="1:12" x14ac:dyDescent="0.45">
      <c r="A77" s="1" t="s">
        <v>2</v>
      </c>
      <c r="B77" s="1">
        <v>20</v>
      </c>
      <c r="C77" s="1" t="s">
        <v>58</v>
      </c>
      <c r="D77" s="1">
        <v>0</v>
      </c>
      <c r="E77" s="1" t="s">
        <v>8</v>
      </c>
      <c r="F77" s="1" t="s">
        <v>36</v>
      </c>
      <c r="G77" s="1">
        <v>600</v>
      </c>
      <c r="H77" s="1" t="s">
        <v>15</v>
      </c>
      <c r="I77" s="1" t="s">
        <v>10</v>
      </c>
      <c r="J77" s="1" t="s">
        <v>53</v>
      </c>
      <c r="K77" s="1">
        <v>15</v>
      </c>
      <c r="L77">
        <v>108000</v>
      </c>
    </row>
    <row r="78" spans="1:12" x14ac:dyDescent="0.45">
      <c r="A78" s="1" t="s">
        <v>6</v>
      </c>
      <c r="B78" s="1">
        <v>24</v>
      </c>
      <c r="C78" s="1" t="s">
        <v>58</v>
      </c>
      <c r="D78" s="1">
        <v>0</v>
      </c>
      <c r="E78" s="1" t="s">
        <v>49</v>
      </c>
      <c r="F78" s="1" t="s">
        <v>50</v>
      </c>
      <c r="G78" s="1">
        <v>500</v>
      </c>
      <c r="H78" s="1" t="s">
        <v>17</v>
      </c>
      <c r="I78" s="1" t="s">
        <v>4</v>
      </c>
      <c r="J78" s="1" t="s">
        <v>5</v>
      </c>
      <c r="K78" s="1">
        <v>7</v>
      </c>
      <c r="L78">
        <v>42000</v>
      </c>
    </row>
    <row r="79" spans="1:12" x14ac:dyDescent="0.45">
      <c r="A79" s="1" t="s">
        <v>6</v>
      </c>
      <c r="B79" s="1">
        <v>26</v>
      </c>
      <c r="C79" s="1" t="s">
        <v>57</v>
      </c>
      <c r="D79" s="1">
        <v>350000</v>
      </c>
      <c r="E79" s="1" t="s">
        <v>49</v>
      </c>
      <c r="F79" s="1" t="s">
        <v>50</v>
      </c>
      <c r="G79" s="1">
        <v>2500</v>
      </c>
      <c r="H79" s="1" t="s">
        <v>25</v>
      </c>
      <c r="I79" s="1" t="s">
        <v>4</v>
      </c>
      <c r="J79" s="1" t="s">
        <v>14</v>
      </c>
      <c r="K79" s="1">
        <v>5</v>
      </c>
      <c r="L79">
        <v>150000</v>
      </c>
    </row>
    <row r="80" spans="1:12" x14ac:dyDescent="0.45">
      <c r="A80" s="1" t="s">
        <v>6</v>
      </c>
      <c r="B80" s="1">
        <v>27</v>
      </c>
      <c r="C80" s="1" t="s">
        <v>58</v>
      </c>
      <c r="D80" s="1">
        <v>0</v>
      </c>
      <c r="E80" s="1" t="s">
        <v>49</v>
      </c>
      <c r="F80" s="1" t="s">
        <v>50</v>
      </c>
      <c r="G80" s="1">
        <v>1500</v>
      </c>
      <c r="H80" s="1" t="s">
        <v>3</v>
      </c>
      <c r="I80" s="1" t="s">
        <v>4</v>
      </c>
      <c r="J80" s="1" t="s">
        <v>5</v>
      </c>
      <c r="K80" s="1">
        <v>6</v>
      </c>
      <c r="L80">
        <v>108000</v>
      </c>
    </row>
    <row r="81" spans="1:12" x14ac:dyDescent="0.45">
      <c r="A81" s="1" t="s">
        <v>2</v>
      </c>
      <c r="B81" s="1">
        <v>25</v>
      </c>
      <c r="C81" s="1" t="s">
        <v>57</v>
      </c>
      <c r="D81" s="1">
        <v>200000</v>
      </c>
      <c r="E81" s="1" t="s">
        <v>8</v>
      </c>
      <c r="F81" s="1" t="s">
        <v>36</v>
      </c>
      <c r="G81" s="1">
        <v>1000</v>
      </c>
      <c r="H81" s="1" t="s">
        <v>15</v>
      </c>
      <c r="I81" s="1" t="s">
        <v>4</v>
      </c>
      <c r="J81" s="1" t="s">
        <v>5</v>
      </c>
      <c r="K81" s="1">
        <v>10</v>
      </c>
      <c r="L81">
        <v>120000</v>
      </c>
    </row>
    <row r="82" spans="1:12" x14ac:dyDescent="0.45">
      <c r="A82" s="1" t="s">
        <v>6</v>
      </c>
      <c r="B82" s="1">
        <v>32</v>
      </c>
      <c r="C82" s="1" t="s">
        <v>57</v>
      </c>
      <c r="D82" s="1">
        <v>300000</v>
      </c>
      <c r="E82" s="1" t="s">
        <v>44</v>
      </c>
      <c r="F82" s="1" t="s">
        <v>47</v>
      </c>
      <c r="G82" s="1">
        <v>5000</v>
      </c>
      <c r="H82" s="1" t="s">
        <v>17</v>
      </c>
      <c r="I82" s="1" t="s">
        <v>26</v>
      </c>
      <c r="J82" s="1" t="s">
        <v>55</v>
      </c>
      <c r="K82" s="1">
        <v>15</v>
      </c>
      <c r="L82">
        <v>900000</v>
      </c>
    </row>
    <row r="83" spans="1:12" x14ac:dyDescent="0.45">
      <c r="A83" s="1" t="s">
        <v>2</v>
      </c>
      <c r="B83" s="1">
        <v>26</v>
      </c>
      <c r="C83" s="1" t="s">
        <v>57</v>
      </c>
      <c r="D83" s="1">
        <v>250000</v>
      </c>
      <c r="E83" s="1" t="s">
        <v>45</v>
      </c>
      <c r="F83" s="1" t="s">
        <v>48</v>
      </c>
      <c r="G83" s="1">
        <v>1500</v>
      </c>
      <c r="H83" s="1" t="s">
        <v>59</v>
      </c>
      <c r="I83" s="1" t="s">
        <v>7</v>
      </c>
      <c r="J83" s="1" t="s">
        <v>21</v>
      </c>
      <c r="K83" s="1">
        <v>5</v>
      </c>
      <c r="L83">
        <v>90000</v>
      </c>
    </row>
    <row r="84" spans="1:12" x14ac:dyDescent="0.45">
      <c r="A84" s="1" t="s">
        <v>2</v>
      </c>
      <c r="B84" s="1">
        <v>25</v>
      </c>
      <c r="C84" s="1" t="s">
        <v>57</v>
      </c>
      <c r="D84" s="1">
        <v>300000</v>
      </c>
      <c r="E84" s="1" t="s">
        <v>8</v>
      </c>
      <c r="F84" s="1" t="s">
        <v>36</v>
      </c>
      <c r="G84" s="1">
        <v>5000</v>
      </c>
      <c r="H84" s="1" t="s">
        <v>16</v>
      </c>
      <c r="I84" s="1" t="s">
        <v>4</v>
      </c>
      <c r="J84" s="1" t="s">
        <v>5</v>
      </c>
      <c r="K84" s="1">
        <v>10</v>
      </c>
      <c r="L84">
        <v>600000</v>
      </c>
    </row>
    <row r="85" spans="1:12" x14ac:dyDescent="0.45">
      <c r="A85" s="1" t="s">
        <v>2</v>
      </c>
      <c r="B85" s="1">
        <v>24</v>
      </c>
      <c r="C85" s="1" t="s">
        <v>58</v>
      </c>
      <c r="D85" s="1">
        <v>0</v>
      </c>
      <c r="E85" s="1" t="s">
        <v>45</v>
      </c>
      <c r="F85" s="1" t="s">
        <v>48</v>
      </c>
      <c r="G85" s="1">
        <v>500</v>
      </c>
      <c r="H85" s="1" t="s">
        <v>15</v>
      </c>
      <c r="I85" s="1" t="s">
        <v>7</v>
      </c>
      <c r="J85" s="1" t="s">
        <v>5</v>
      </c>
      <c r="K85" s="1">
        <v>5</v>
      </c>
      <c r="L85">
        <v>30000</v>
      </c>
    </row>
    <row r="86" spans="1:12" x14ac:dyDescent="0.45">
      <c r="A86" s="1" t="s">
        <v>6</v>
      </c>
      <c r="B86" s="1">
        <v>21</v>
      </c>
      <c r="C86" s="1" t="s">
        <v>58</v>
      </c>
      <c r="D86" s="1">
        <v>0</v>
      </c>
      <c r="E86" s="1" t="s">
        <v>44</v>
      </c>
      <c r="F86" s="1" t="s">
        <v>47</v>
      </c>
      <c r="G86" s="1">
        <v>500</v>
      </c>
      <c r="H86" s="1" t="s">
        <v>3</v>
      </c>
      <c r="I86" s="1" t="s">
        <v>4</v>
      </c>
      <c r="J86" s="1" t="s">
        <v>14</v>
      </c>
      <c r="K86" s="1">
        <v>5</v>
      </c>
      <c r="L86">
        <v>30000</v>
      </c>
    </row>
    <row r="87" spans="1:12" x14ac:dyDescent="0.45">
      <c r="A87" s="1" t="s">
        <v>2</v>
      </c>
      <c r="B87" s="1">
        <v>28</v>
      </c>
      <c r="C87" s="1" t="s">
        <v>57</v>
      </c>
      <c r="D87" s="1">
        <v>350000</v>
      </c>
      <c r="E87" s="1" t="s">
        <v>49</v>
      </c>
      <c r="F87" s="1" t="s">
        <v>50</v>
      </c>
      <c r="G87" s="1">
        <v>1500</v>
      </c>
      <c r="H87" s="1" t="s">
        <v>60</v>
      </c>
      <c r="I87" s="1" t="s">
        <v>4</v>
      </c>
      <c r="J87" s="1" t="s">
        <v>52</v>
      </c>
      <c r="K87" s="1">
        <v>5</v>
      </c>
      <c r="L87">
        <v>90000</v>
      </c>
    </row>
    <row r="88" spans="1:12" x14ac:dyDescent="0.45">
      <c r="A88" s="1" t="s">
        <v>2</v>
      </c>
      <c r="B88" s="1">
        <v>26</v>
      </c>
      <c r="C88" s="1" t="s">
        <v>57</v>
      </c>
      <c r="D88" s="1">
        <v>250000</v>
      </c>
      <c r="E88" s="1" t="s">
        <v>45</v>
      </c>
      <c r="F88" s="1" t="s">
        <v>48</v>
      </c>
      <c r="G88" s="1">
        <v>1000</v>
      </c>
      <c r="H88" s="1" t="s">
        <v>59</v>
      </c>
      <c r="I88" s="1" t="s">
        <v>7</v>
      </c>
      <c r="J88" s="1" t="s">
        <v>5</v>
      </c>
      <c r="K88" s="1">
        <v>10</v>
      </c>
      <c r="L88">
        <v>120000</v>
      </c>
    </row>
    <row r="89" spans="1:12" x14ac:dyDescent="0.45">
      <c r="A89" s="1" t="s">
        <v>2</v>
      </c>
      <c r="B89" s="1">
        <v>27</v>
      </c>
      <c r="C89" s="1" t="s">
        <v>57</v>
      </c>
      <c r="D89" s="1">
        <v>400000</v>
      </c>
      <c r="E89" s="1" t="s">
        <v>46</v>
      </c>
      <c r="F89" s="1" t="s">
        <v>42</v>
      </c>
      <c r="G89" s="1">
        <v>8500</v>
      </c>
      <c r="H89" s="1" t="s">
        <v>60</v>
      </c>
      <c r="I89" s="1" t="s">
        <v>4</v>
      </c>
      <c r="J89" s="1" t="s">
        <v>54</v>
      </c>
      <c r="K89" s="1">
        <v>5</v>
      </c>
      <c r="L89">
        <v>510000</v>
      </c>
    </row>
    <row r="90" spans="1:12" x14ac:dyDescent="0.45">
      <c r="A90" s="1" t="s">
        <v>6</v>
      </c>
      <c r="B90" s="1">
        <v>24</v>
      </c>
      <c r="C90" s="1" t="s">
        <v>58</v>
      </c>
      <c r="D90" s="1">
        <v>0</v>
      </c>
      <c r="E90" s="1" t="s">
        <v>44</v>
      </c>
      <c r="F90" s="1" t="s">
        <v>47</v>
      </c>
      <c r="G90" s="1">
        <v>1000</v>
      </c>
      <c r="H90" s="1" t="s">
        <v>3</v>
      </c>
      <c r="I90" s="1" t="s">
        <v>4</v>
      </c>
      <c r="J90" s="1" t="s">
        <v>14</v>
      </c>
      <c r="K90" s="1">
        <v>8</v>
      </c>
      <c r="L90">
        <v>96000</v>
      </c>
    </row>
    <row r="91" spans="1:12" x14ac:dyDescent="0.45">
      <c r="A91" s="1" t="s">
        <v>6</v>
      </c>
      <c r="B91" s="1">
        <v>26</v>
      </c>
      <c r="C91" s="1" t="s">
        <v>57</v>
      </c>
      <c r="D91" s="1">
        <v>250000</v>
      </c>
      <c r="E91" s="1" t="s">
        <v>8</v>
      </c>
      <c r="F91" s="1" t="s">
        <v>36</v>
      </c>
      <c r="G91" s="1">
        <v>2500</v>
      </c>
      <c r="H91" s="1" t="s">
        <v>17</v>
      </c>
      <c r="I91" s="1" t="s">
        <v>7</v>
      </c>
      <c r="J91" s="1" t="s">
        <v>5</v>
      </c>
      <c r="K91" s="1">
        <v>8</v>
      </c>
      <c r="L91">
        <v>240000</v>
      </c>
    </row>
    <row r="92" spans="1:12" x14ac:dyDescent="0.45">
      <c r="A92" s="1" t="s">
        <v>2</v>
      </c>
      <c r="B92" s="1">
        <v>21</v>
      </c>
      <c r="C92" s="1" t="s">
        <v>57</v>
      </c>
      <c r="D92" s="1">
        <v>120000</v>
      </c>
      <c r="E92" s="1" t="s">
        <v>45</v>
      </c>
      <c r="F92" s="1" t="s">
        <v>48</v>
      </c>
      <c r="G92" s="1">
        <v>500</v>
      </c>
      <c r="H92" s="1" t="s">
        <v>15</v>
      </c>
      <c r="I92" s="1" t="s">
        <v>51</v>
      </c>
      <c r="J92" s="1" t="s">
        <v>5</v>
      </c>
      <c r="K92" s="1">
        <v>5</v>
      </c>
      <c r="L92">
        <v>30000</v>
      </c>
    </row>
    <row r="93" spans="1:12" x14ac:dyDescent="0.45">
      <c r="A93" s="1" t="s">
        <v>2</v>
      </c>
      <c r="B93" s="1">
        <v>23</v>
      </c>
      <c r="C93" s="1" t="s">
        <v>57</v>
      </c>
      <c r="D93" s="1">
        <v>200000</v>
      </c>
      <c r="E93" s="1" t="s">
        <v>8</v>
      </c>
      <c r="F93" s="1" t="s">
        <v>36</v>
      </c>
      <c r="G93" s="1">
        <v>1500</v>
      </c>
      <c r="H93" s="1" t="s">
        <v>59</v>
      </c>
      <c r="I93" s="1" t="s">
        <v>51</v>
      </c>
      <c r="J93" s="1" t="s">
        <v>55</v>
      </c>
      <c r="K93" s="1">
        <v>9</v>
      </c>
      <c r="L93">
        <v>162000</v>
      </c>
    </row>
    <row r="94" spans="1:12" x14ac:dyDescent="0.45">
      <c r="A94" s="1" t="s">
        <v>6</v>
      </c>
      <c r="B94" s="1">
        <v>22</v>
      </c>
      <c r="C94" s="1" t="s">
        <v>57</v>
      </c>
      <c r="D94" s="1">
        <v>120000</v>
      </c>
      <c r="E94" s="1" t="s">
        <v>8</v>
      </c>
      <c r="F94" s="1" t="s">
        <v>36</v>
      </c>
      <c r="G94" s="1">
        <v>1500</v>
      </c>
      <c r="H94" s="1" t="s">
        <v>59</v>
      </c>
      <c r="I94" s="1" t="s">
        <v>10</v>
      </c>
      <c r="J94" s="1" t="s">
        <v>5</v>
      </c>
      <c r="K94" s="1">
        <v>8</v>
      </c>
      <c r="L94">
        <v>144000</v>
      </c>
    </row>
    <row r="95" spans="1:12" x14ac:dyDescent="0.45">
      <c r="A95" s="1" t="s">
        <v>2</v>
      </c>
      <c r="B95" s="1">
        <v>25</v>
      </c>
      <c r="C95" s="1" t="s">
        <v>57</v>
      </c>
      <c r="D95" s="1">
        <v>260000</v>
      </c>
      <c r="E95" s="1" t="s">
        <v>49</v>
      </c>
      <c r="F95" s="1" t="s">
        <v>50</v>
      </c>
      <c r="G95" s="1">
        <v>2000</v>
      </c>
      <c r="H95" s="1" t="s">
        <v>59</v>
      </c>
      <c r="I95" s="1" t="s">
        <v>4</v>
      </c>
      <c r="J95" s="1" t="s">
        <v>52</v>
      </c>
      <c r="K95" s="1">
        <v>5</v>
      </c>
      <c r="L95">
        <v>120000</v>
      </c>
    </row>
    <row r="96" spans="1:12" x14ac:dyDescent="0.45">
      <c r="A96" s="1" t="s">
        <v>2</v>
      </c>
      <c r="B96" s="1">
        <v>22</v>
      </c>
      <c r="C96" s="1" t="s">
        <v>58</v>
      </c>
      <c r="D96" s="1">
        <v>0</v>
      </c>
      <c r="E96" s="1" t="s">
        <v>45</v>
      </c>
      <c r="F96" s="1" t="s">
        <v>48</v>
      </c>
      <c r="G96" s="1">
        <v>500</v>
      </c>
      <c r="H96" s="1" t="s">
        <v>59</v>
      </c>
      <c r="I96" s="1" t="s">
        <v>7</v>
      </c>
      <c r="J96" s="1" t="s">
        <v>5</v>
      </c>
      <c r="K96" s="1">
        <v>10</v>
      </c>
      <c r="L96">
        <v>60000</v>
      </c>
    </row>
    <row r="97" spans="1:12" x14ac:dyDescent="0.45">
      <c r="A97" s="1" t="s">
        <v>2</v>
      </c>
      <c r="B97" s="1">
        <v>29</v>
      </c>
      <c r="C97" s="1" t="s">
        <v>57</v>
      </c>
      <c r="D97" s="1">
        <v>250000</v>
      </c>
      <c r="E97" s="1" t="s">
        <v>8</v>
      </c>
      <c r="F97" s="1" t="s">
        <v>36</v>
      </c>
      <c r="G97" s="1">
        <v>2000</v>
      </c>
      <c r="H97" s="1" t="s">
        <v>17</v>
      </c>
      <c r="I97" s="1" t="s">
        <v>51</v>
      </c>
      <c r="J97" s="1" t="s">
        <v>14</v>
      </c>
      <c r="K97" s="1">
        <v>2</v>
      </c>
      <c r="L97">
        <v>48000</v>
      </c>
    </row>
    <row r="98" spans="1:12" x14ac:dyDescent="0.45">
      <c r="A98" s="1" t="s">
        <v>6</v>
      </c>
      <c r="B98" s="1">
        <v>23</v>
      </c>
      <c r="C98" s="1" t="s">
        <v>57</v>
      </c>
      <c r="D98" s="1">
        <v>150000</v>
      </c>
      <c r="E98" s="1" t="s">
        <v>44</v>
      </c>
      <c r="F98" s="1" t="s">
        <v>47</v>
      </c>
      <c r="G98" s="1">
        <v>1000</v>
      </c>
      <c r="H98" s="1" t="s">
        <v>3</v>
      </c>
      <c r="I98" s="1" t="s">
        <v>4</v>
      </c>
      <c r="J98" s="1" t="s">
        <v>54</v>
      </c>
      <c r="K98" s="1">
        <v>10</v>
      </c>
      <c r="L98">
        <v>120000</v>
      </c>
    </row>
    <row r="99" spans="1:12" x14ac:dyDescent="0.45">
      <c r="A99" s="1" t="s">
        <v>6</v>
      </c>
      <c r="B99" s="1">
        <v>22</v>
      </c>
      <c r="C99" s="1" t="s">
        <v>58</v>
      </c>
      <c r="D99" s="1">
        <v>0</v>
      </c>
      <c r="E99" s="1" t="s">
        <v>8</v>
      </c>
      <c r="F99" s="1" t="s">
        <v>36</v>
      </c>
      <c r="G99" s="1">
        <v>1000</v>
      </c>
      <c r="H99" s="1" t="s">
        <v>17</v>
      </c>
      <c r="I99" s="1" t="s">
        <v>7</v>
      </c>
      <c r="J99" s="1" t="s">
        <v>5</v>
      </c>
      <c r="K99" s="1">
        <v>6</v>
      </c>
      <c r="L99">
        <v>72000</v>
      </c>
    </row>
    <row r="100" spans="1:12" x14ac:dyDescent="0.45">
      <c r="A100" s="1" t="s">
        <v>2</v>
      </c>
      <c r="B100" s="1">
        <v>26</v>
      </c>
      <c r="C100" s="1" t="s">
        <v>57</v>
      </c>
      <c r="D100" s="1">
        <v>250000</v>
      </c>
      <c r="E100" s="1" t="s">
        <v>45</v>
      </c>
      <c r="F100" s="1" t="s">
        <v>48</v>
      </c>
      <c r="G100" s="1">
        <v>1500</v>
      </c>
      <c r="H100" s="1" t="s">
        <v>60</v>
      </c>
      <c r="I100" s="1" t="s">
        <v>4</v>
      </c>
      <c r="J100" s="1" t="s">
        <v>55</v>
      </c>
      <c r="K100" s="1">
        <v>10</v>
      </c>
      <c r="L100">
        <v>180000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8E9E1-7F85-4751-B5DA-7412C2086C18}">
  <dimension ref="E2:G8"/>
  <sheetViews>
    <sheetView workbookViewId="0">
      <selection activeCell="E3" sqref="E3"/>
    </sheetView>
  </sheetViews>
  <sheetFormatPr defaultRowHeight="14.25" x14ac:dyDescent="0.45"/>
  <cols>
    <col min="5" max="5" width="13.19921875" bestFit="1" customWidth="1"/>
  </cols>
  <sheetData>
    <row r="2" spans="5:7" x14ac:dyDescent="0.45">
      <c r="E2" s="10" t="s">
        <v>62</v>
      </c>
      <c r="F2" s="10"/>
      <c r="G2" s="10"/>
    </row>
    <row r="3" spans="5:7" x14ac:dyDescent="0.45">
      <c r="E3" t="s">
        <v>8</v>
      </c>
      <c r="F3" t="s">
        <v>36</v>
      </c>
    </row>
    <row r="4" spans="5:7" x14ac:dyDescent="0.45">
      <c r="E4" t="s">
        <v>11</v>
      </c>
      <c r="F4" t="s">
        <v>37</v>
      </c>
    </row>
    <row r="5" spans="5:7" x14ac:dyDescent="0.45">
      <c r="E5" t="s">
        <v>12</v>
      </c>
      <c r="F5" t="s">
        <v>40</v>
      </c>
    </row>
    <row r="6" spans="5:7" x14ac:dyDescent="0.45">
      <c r="E6" t="s">
        <v>18</v>
      </c>
      <c r="F6" t="s">
        <v>38</v>
      </c>
    </row>
    <row r="7" spans="5:7" x14ac:dyDescent="0.45">
      <c r="E7" t="s">
        <v>35</v>
      </c>
      <c r="F7" t="s">
        <v>42</v>
      </c>
    </row>
    <row r="8" spans="5:7" x14ac:dyDescent="0.45">
      <c r="E8" t="s">
        <v>23</v>
      </c>
      <c r="F8" t="s">
        <v>43</v>
      </c>
    </row>
  </sheetData>
  <mergeCells count="1">
    <mergeCell ref="E2: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Pivot_Data</vt:lpstr>
      <vt:lpstr>User-Age_Metrics</vt:lpstr>
      <vt:lpstr>Investment_Type</vt:lpstr>
      <vt:lpstr>Reason_Goal_Investment</vt:lpstr>
      <vt:lpstr>investment_survey</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Rishab Singh</dc:creator>
  <cp:lastModifiedBy>Rishab Singh</cp:lastModifiedBy>
  <dcterms:created xsi:type="dcterms:W3CDTF">2025-04-29T14:42:56Z</dcterms:created>
  <dcterms:modified xsi:type="dcterms:W3CDTF">2025-04-30T11:13:03Z</dcterms:modified>
</cp:coreProperties>
</file>